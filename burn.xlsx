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PY" sheetId="1" r:id="rId4"/>
    <sheet state="visible" name="TRAINERS" sheetId="2" r:id="rId5"/>
    <sheet state="visible" name="Storm Steppers🌀" sheetId="3" r:id="rId6"/>
    <sheet state="visible" name="Burnin Soles" sheetId="4" r:id="rId7"/>
    <sheet state="visible" name="STRUT SQUAD⚡️🤍" sheetId="5" r:id="rId8"/>
    <sheet state="visible" name="Resting Step Face" sheetId="6" r:id="rId9"/>
    <sheet state="visible" name="Walk Around and Find Out" sheetId="7" r:id="rId10"/>
    <sheet state="visible" name="Burning up the Miles" sheetId="8" r:id="rId11"/>
    <sheet state="visible" name="Sole Sisters + 1 Mister 💅⚡️" sheetId="9" r:id="rId12"/>
    <sheet state="visible" name="Blister Sisters" sheetId="10" r:id="rId13"/>
    <sheet state="visible" name="Hot Chili Steppers🌶️" sheetId="11" r:id="rId14"/>
    <sheet state="visible" name="Lemon Peppa Steppas" sheetId="12" r:id="rId15"/>
    <sheet state="visible" name="Too Legit to Sit 🔥🔥" sheetId="13" r:id="rId16"/>
    <sheet state="visible" name="Sole Train" sheetId="14" r:id="rId17"/>
    <sheet state="visible" name="Running Late Counts" sheetId="15" r:id="rId18"/>
    <sheet state="visible" name="Sole Mates" sheetId="16" r:id="rId19"/>
    <sheet state="visible" name="Stride or Die" sheetId="17" r:id="rId20"/>
    <sheet state="visible" name="Victory Lap 🏅" sheetId="18" r:id="rId21"/>
    <sheet state="visible" name="Holy Walkamolies" sheetId="19" r:id="rId22"/>
    <sheet state="visible" name="Goal Diggers " sheetId="20" r:id="rId23"/>
    <sheet state="visible" name="ABCD Step Sisters" sheetId="21" r:id="rId24"/>
    <sheet state="visible" name="Sole Sisters 🔥👟" sheetId="22" r:id="rId25"/>
    <sheet state="visible" name="Run like The Winded" sheetId="23" r:id="rId26"/>
    <sheet state="visible" name="Last but Fast" sheetId="24" r:id="rId27"/>
  </sheets>
  <definedNames/>
  <calcPr/>
  <extLst>
    <ext uri="GoogleSheetsCustomDataVersion2">
      <go:sheetsCustomData xmlns:go="http://customooxmlschemas.google.com/" r:id="rId28" roundtripDataChecksum="NuwNafvWVW+9ZKHOPPcmYRXLqG4q+K+bDsBq8J50QpA="/>
    </ext>
  </extLst>
</workbook>
</file>

<file path=xl/sharedStrings.xml><?xml version="1.0" encoding="utf-8"?>
<sst xmlns="http://schemas.openxmlformats.org/spreadsheetml/2006/main" count="409" uniqueCount="116">
  <si>
    <t>Person A</t>
  </si>
  <si>
    <t>Person B</t>
  </si>
  <si>
    <t>Person C</t>
  </si>
  <si>
    <t>Person D</t>
  </si>
  <si>
    <t>Week 1</t>
  </si>
  <si>
    <t>Week Total</t>
  </si>
  <si>
    <t>Week 2</t>
  </si>
  <si>
    <t>Week 3</t>
  </si>
  <si>
    <t xml:space="preserve"> Week 4</t>
  </si>
  <si>
    <t>Person A Total</t>
  </si>
  <si>
    <t>Person B Total</t>
  </si>
  <si>
    <t xml:space="preserve">Person C Total </t>
  </si>
  <si>
    <t>Person D Total</t>
  </si>
  <si>
    <t>Team Total</t>
  </si>
  <si>
    <t>Jenna</t>
  </si>
  <si>
    <t>Maggie</t>
  </si>
  <si>
    <t>Natalie</t>
  </si>
  <si>
    <t>AJ</t>
  </si>
  <si>
    <t>Week 4</t>
  </si>
  <si>
    <t>Jenna Total</t>
  </si>
  <si>
    <t>Maggie Total</t>
  </si>
  <si>
    <t xml:space="preserve">Natalie Total </t>
  </si>
  <si>
    <t>AJ Total</t>
  </si>
  <si>
    <t>Kaylah C</t>
  </si>
  <si>
    <t>Jamillah S</t>
  </si>
  <si>
    <t>Kayla P</t>
  </si>
  <si>
    <t>Sarah C.</t>
  </si>
  <si>
    <t>Erica B</t>
  </si>
  <si>
    <t>Emily F</t>
  </si>
  <si>
    <t>Ana R</t>
  </si>
  <si>
    <t xml:space="preserve">Jasmin H </t>
  </si>
  <si>
    <t>Bre C</t>
  </si>
  <si>
    <t>Jen Harpe</t>
  </si>
  <si>
    <t>Marie C</t>
  </si>
  <si>
    <t>Annie L</t>
  </si>
  <si>
    <t>Bre C Total</t>
  </si>
  <si>
    <t>Jen H Total</t>
  </si>
  <si>
    <t xml:space="preserve">Marie C Total </t>
  </si>
  <si>
    <t>Annie L Total</t>
  </si>
  <si>
    <t>Rachel T</t>
  </si>
  <si>
    <t>Jatun B</t>
  </si>
  <si>
    <t>Regan B</t>
  </si>
  <si>
    <t>Zawadi W</t>
  </si>
  <si>
    <t>Emily N</t>
  </si>
  <si>
    <t>Leslie Y</t>
  </si>
  <si>
    <t>Kaylee H</t>
  </si>
  <si>
    <t>Olivia V</t>
  </si>
  <si>
    <t>Theresa I</t>
  </si>
  <si>
    <t>Kelsey R</t>
  </si>
  <si>
    <t>Robin R</t>
  </si>
  <si>
    <t>Steph G</t>
  </si>
  <si>
    <t>Court J./Terra H.</t>
  </si>
  <si>
    <t>Avery W</t>
  </si>
  <si>
    <t>Stephanie A.R</t>
  </si>
  <si>
    <t>Monishia E</t>
  </si>
  <si>
    <t>Katherine S</t>
  </si>
  <si>
    <t>Asia C</t>
  </si>
  <si>
    <t>Sam M.</t>
  </si>
  <si>
    <t>Rachel G</t>
  </si>
  <si>
    <t>Emily S</t>
  </si>
  <si>
    <t>Jess R</t>
  </si>
  <si>
    <t>Rachael B</t>
  </si>
  <si>
    <t xml:space="preserve">Amelia G. </t>
  </si>
  <si>
    <t>Sydnee W</t>
  </si>
  <si>
    <t>Amber C.</t>
  </si>
  <si>
    <t>Jessica F.</t>
  </si>
  <si>
    <t>Danielle O</t>
  </si>
  <si>
    <t>,</t>
  </si>
  <si>
    <t>Katie E.</t>
  </si>
  <si>
    <t>Lauren H.</t>
  </si>
  <si>
    <t>Haejin</t>
  </si>
  <si>
    <t xml:space="preserve">Kathy P. </t>
  </si>
  <si>
    <t>Taylor G</t>
  </si>
  <si>
    <t>Margaret S.</t>
  </si>
  <si>
    <t>Jessica P.</t>
  </si>
  <si>
    <t>Nikki K</t>
  </si>
  <si>
    <t>Amber A</t>
  </si>
  <si>
    <t>Sarah S</t>
  </si>
  <si>
    <t>Stephanie L.</t>
  </si>
  <si>
    <t>Candace R</t>
  </si>
  <si>
    <t>Aundrea E.</t>
  </si>
  <si>
    <t>Brandee M.</t>
  </si>
  <si>
    <t>Mary Beth G.</t>
  </si>
  <si>
    <t>Sarat D</t>
  </si>
  <si>
    <t xml:space="preserve">Tayler W. </t>
  </si>
  <si>
    <t xml:space="preserve">Cindy A. </t>
  </si>
  <si>
    <t>Susan O.</t>
  </si>
  <si>
    <t>Steven C.</t>
  </si>
  <si>
    <t>Brandi M.E.</t>
  </si>
  <si>
    <t>Jaye C.</t>
  </si>
  <si>
    <t xml:space="preserve">Sarah Anne C. </t>
  </si>
  <si>
    <t>Nicole J</t>
  </si>
  <si>
    <t>Lindsay M</t>
  </si>
  <si>
    <t>Tosha F.</t>
  </si>
  <si>
    <t>Eboni F.</t>
  </si>
  <si>
    <t xml:space="preserve">Val D. </t>
  </si>
  <si>
    <t>Mitzi P.</t>
  </si>
  <si>
    <t xml:space="preserve">QuiAnne' H. </t>
  </si>
  <si>
    <t>Kelly P.</t>
  </si>
  <si>
    <t>Karen R.</t>
  </si>
  <si>
    <t>Candice H.</t>
  </si>
  <si>
    <t>Dormekya B.</t>
  </si>
  <si>
    <t>Alison S.</t>
  </si>
  <si>
    <t>Barb K.</t>
  </si>
  <si>
    <t>Jess H.</t>
  </si>
  <si>
    <t>Tiera S.</t>
  </si>
  <si>
    <t>Barb R.</t>
  </si>
  <si>
    <t xml:space="preserve">Justine W. </t>
  </si>
  <si>
    <t>Alli B.</t>
  </si>
  <si>
    <t>Prema N.</t>
  </si>
  <si>
    <t>Dwayne B.</t>
  </si>
  <si>
    <t>Kortney H.</t>
  </si>
  <si>
    <t>Rachel M</t>
  </si>
  <si>
    <t>Ashley B</t>
  </si>
  <si>
    <t>Whitney M</t>
  </si>
  <si>
    <t>Donna 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</si>
</sst>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Aptos Narrow"/>
      <scheme val="minor"/>
    </font>
    <font>
      <b/>
      <sz val="11.0"/>
      <color theme="1"/>
      <name val="Aptos Narrow"/>
    </font>
    <font>
      <color theme="1"/>
      <name val="Aptos Narrow"/>
      <scheme val="minor"/>
    </font>
    <font>
      <b/>
      <i/>
      <sz val="11.0"/>
      <color theme="1"/>
      <name val="Arial"/>
    </font>
    <font>
      <sz val="11.0"/>
      <color theme="1"/>
      <name val="Arial"/>
    </font>
    <font>
      <sz val="11.0"/>
      <color theme="1"/>
      <name val="Aptos Narrow"/>
    </font>
    <font/>
    <font>
      <b/>
      <sz val="11.0"/>
      <color theme="1"/>
      <name val="Arial"/>
    </font>
    <font>
      <b/>
      <i/>
      <sz val="11.0"/>
      <color theme="1"/>
      <name val="Aptos Narrow"/>
    </font>
    <font>
      <color theme="1"/>
      <name val="Arial"/>
    </font>
    <font>
      <b/>
      <color theme="1"/>
      <name val="Aptos Narrow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2" fontId="1" numFmtId="3" xfId="0" applyAlignment="1" applyFill="1" applyFont="1" applyNumberFormat="1">
      <alignment horizontal="center"/>
    </xf>
    <xf borderId="0" fillId="0" fontId="1" numFmtId="3" xfId="0" applyAlignment="1" applyFont="1" applyNumberFormat="1">
      <alignment horizontal="center"/>
    </xf>
    <xf borderId="0" fillId="0" fontId="2" numFmtId="3" xfId="0" applyFont="1" applyNumberFormat="1"/>
    <xf borderId="1" fillId="3" fontId="3" numFmtId="0" xfId="0" applyAlignment="1" applyBorder="1" applyFill="1" applyFont="1">
      <alignment horizontal="center" readingOrder="0" textRotation="90" vertical="center"/>
    </xf>
    <xf borderId="2" fillId="3" fontId="4" numFmtId="14" xfId="0" applyAlignment="1" applyBorder="1" applyFont="1" applyNumberFormat="1">
      <alignment horizontal="center" readingOrder="0"/>
    </xf>
    <xf borderId="2" fillId="3" fontId="4" numFmtId="3" xfId="0" applyAlignment="1" applyBorder="1" applyFont="1" applyNumberFormat="1">
      <alignment readingOrder="0"/>
    </xf>
    <xf borderId="2" fillId="3" fontId="1" numFmtId="3" xfId="0" applyBorder="1" applyFont="1" applyNumberFormat="1"/>
    <xf borderId="2" fillId="3" fontId="5" numFmtId="0" xfId="0" applyBorder="1" applyFont="1"/>
    <xf borderId="2" fillId="3" fontId="5" numFmtId="3" xfId="0" applyBorder="1" applyFont="1" applyNumberFormat="1"/>
    <xf borderId="3" fillId="0" fontId="6" numFmtId="0" xfId="0" applyBorder="1" applyFont="1"/>
    <xf borderId="2" fillId="3" fontId="4" numFmtId="0" xfId="0" applyAlignment="1" applyBorder="1" applyFont="1">
      <alignment readingOrder="0"/>
    </xf>
    <xf borderId="2" fillId="3" fontId="7" numFmtId="3" xfId="0" applyAlignment="1" applyBorder="1" applyFont="1" applyNumberFormat="1">
      <alignment readingOrder="0"/>
    </xf>
    <xf borderId="1" fillId="4" fontId="8" numFmtId="0" xfId="0" applyAlignment="1" applyBorder="1" applyFill="1" applyFont="1">
      <alignment horizontal="center" textRotation="90" vertical="center"/>
    </xf>
    <xf borderId="2" fillId="4" fontId="4" numFmtId="14" xfId="0" applyAlignment="1" applyBorder="1" applyFont="1" applyNumberFormat="1">
      <alignment horizontal="center" readingOrder="0"/>
    </xf>
    <xf borderId="2" fillId="4" fontId="5" numFmtId="3" xfId="0" applyBorder="1" applyFont="1" applyNumberFormat="1"/>
    <xf borderId="2" fillId="4" fontId="4" numFmtId="3" xfId="0" applyAlignment="1" applyBorder="1" applyFont="1" applyNumberFormat="1">
      <alignment readingOrder="0"/>
    </xf>
    <xf borderId="2" fillId="4" fontId="1" numFmtId="3" xfId="0" applyBorder="1" applyFont="1" applyNumberFormat="1"/>
    <xf borderId="2" fillId="4" fontId="5" numFmtId="0" xfId="0" applyBorder="1" applyFont="1"/>
    <xf borderId="2" fillId="4" fontId="9" numFmtId="3" xfId="0" applyAlignment="1" applyBorder="1" applyFont="1" applyNumberFormat="1">
      <alignment readingOrder="0"/>
    </xf>
    <xf borderId="2" fillId="4" fontId="2" numFmtId="3" xfId="0" applyBorder="1" applyFont="1" applyNumberFormat="1"/>
    <xf borderId="2" fillId="4" fontId="2" numFmtId="0" xfId="0" applyBorder="1" applyFont="1"/>
    <xf borderId="2" fillId="4" fontId="9" numFmtId="0" xfId="0" applyAlignment="1" applyBorder="1" applyFont="1">
      <alignment readingOrder="0"/>
    </xf>
    <xf borderId="2" fillId="4" fontId="10" numFmtId="3" xfId="0" applyBorder="1" applyFont="1" applyNumberFormat="1"/>
    <xf borderId="1" fillId="5" fontId="8" numFmtId="0" xfId="0" applyAlignment="1" applyBorder="1" applyFill="1" applyFont="1">
      <alignment horizontal="center" textRotation="90" vertical="center"/>
    </xf>
    <xf borderId="2" fillId="5" fontId="4" numFmtId="14" xfId="0" applyAlignment="1" applyBorder="1" applyFont="1" applyNumberFormat="1">
      <alignment horizontal="center" readingOrder="0"/>
    </xf>
    <xf borderId="2" fillId="5" fontId="2" numFmtId="3" xfId="0" applyBorder="1" applyFont="1" applyNumberFormat="1"/>
    <xf borderId="2" fillId="5" fontId="1" numFmtId="3" xfId="0" applyBorder="1" applyFont="1" applyNumberFormat="1"/>
    <xf borderId="2" fillId="5" fontId="5" numFmtId="0" xfId="0" applyBorder="1" applyFont="1"/>
    <xf borderId="2" fillId="5" fontId="2" numFmtId="0" xfId="0" applyBorder="1" applyFont="1"/>
    <xf borderId="2" fillId="5" fontId="5" numFmtId="3" xfId="0" applyBorder="1" applyFont="1" applyNumberFormat="1"/>
    <xf borderId="2" fillId="5" fontId="4" numFmtId="3" xfId="0" applyAlignment="1" applyBorder="1" applyFont="1" applyNumberFormat="1">
      <alignment readingOrder="0"/>
    </xf>
    <xf borderId="2" fillId="5" fontId="4" numFmtId="0" xfId="0" applyAlignment="1" applyBorder="1" applyFont="1">
      <alignment readingOrder="0"/>
    </xf>
    <xf borderId="1" fillId="6" fontId="3" numFmtId="0" xfId="0" applyAlignment="1" applyBorder="1" applyFill="1" applyFont="1">
      <alignment horizontal="center" readingOrder="0" textRotation="90" vertical="center"/>
    </xf>
    <xf borderId="2" fillId="6" fontId="4" numFmtId="14" xfId="0" applyAlignment="1" applyBorder="1" applyFont="1" applyNumberFormat="1">
      <alignment horizontal="center" readingOrder="0"/>
    </xf>
    <xf borderId="2" fillId="6" fontId="5" numFmtId="3" xfId="0" applyBorder="1" applyFont="1" applyNumberFormat="1"/>
    <xf borderId="2" fillId="6" fontId="4" numFmtId="3" xfId="0" applyAlignment="1" applyBorder="1" applyFont="1" applyNumberFormat="1">
      <alignment readingOrder="0"/>
    </xf>
    <xf borderId="2" fillId="6" fontId="7" numFmtId="3" xfId="0" applyAlignment="1" applyBorder="1" applyFont="1" applyNumberFormat="1">
      <alignment readingOrder="0"/>
    </xf>
    <xf borderId="2" fillId="6" fontId="5" numFmtId="0" xfId="0" applyBorder="1" applyFont="1"/>
    <xf borderId="2" fillId="6" fontId="1" numFmtId="3" xfId="0" applyBorder="1" applyFont="1" applyNumberFormat="1"/>
    <xf borderId="2" fillId="6" fontId="2" numFmtId="3" xfId="0" applyBorder="1" applyFont="1" applyNumberFormat="1"/>
    <xf borderId="2" fillId="6" fontId="2" numFmtId="0" xfId="0" applyBorder="1" applyFont="1"/>
    <xf borderId="2" fillId="6" fontId="9" numFmtId="3" xfId="0" applyAlignment="1" applyBorder="1" applyFont="1" applyNumberFormat="1">
      <alignment readingOrder="0"/>
    </xf>
    <xf borderId="2" fillId="6" fontId="9" numFmtId="0" xfId="0" applyAlignment="1" applyBorder="1" applyFont="1">
      <alignment readingOrder="0"/>
    </xf>
    <xf borderId="2" fillId="6" fontId="10" numFmtId="3" xfId="0" applyBorder="1" applyFont="1" applyNumberFormat="1"/>
    <xf borderId="0" fillId="0" fontId="10" numFmtId="3" xfId="0" applyFont="1" applyNumberFormat="1"/>
    <xf borderId="0" fillId="0" fontId="9" numFmtId="3" xfId="0" applyAlignment="1" applyFont="1" applyNumberFormat="1">
      <alignment horizontal="center" readingOrder="0"/>
    </xf>
    <xf borderId="0" fillId="2" fontId="7" numFmtId="3" xfId="0" applyAlignment="1" applyFont="1" applyNumberFormat="1">
      <alignment horizontal="center" readingOrder="0"/>
    </xf>
    <xf borderId="0" fillId="0" fontId="7" numFmtId="3" xfId="0" applyAlignment="1" applyFont="1" applyNumberFormat="1">
      <alignment horizontal="center" readingOrder="0"/>
    </xf>
    <xf borderId="2" fillId="3" fontId="5" numFmtId="3" xfId="0" applyAlignment="1" applyBorder="1" applyFont="1" applyNumberFormat="1">
      <alignment readingOrder="0"/>
    </xf>
    <xf borderId="2" fillId="4" fontId="5" numFmtId="3" xfId="0" applyAlignment="1" applyBorder="1" applyFont="1" applyNumberFormat="1">
      <alignment readingOrder="0"/>
    </xf>
    <xf borderId="2" fillId="4" fontId="2" numFmtId="3" xfId="0" applyAlignment="1" applyBorder="1" applyFont="1" applyNumberFormat="1">
      <alignment readingOrder="0"/>
    </xf>
    <xf borderId="2" fillId="5" fontId="9" numFmtId="3" xfId="0" applyAlignment="1" applyBorder="1" applyFont="1" applyNumberFormat="1">
      <alignment readingOrder="0"/>
    </xf>
    <xf borderId="4" fillId="0" fontId="11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/>
    </xf>
    <xf borderId="0" fillId="0" fontId="9" numFmtId="0" xfId="0" applyAlignment="1" applyFont="1">
      <alignment readingOrder="0"/>
    </xf>
    <xf borderId="2" fillId="5" fontId="2" numFmtId="3" xfId="0" applyAlignment="1" applyBorder="1" applyFont="1" applyNumberFormat="1">
      <alignment readingOrder="0"/>
    </xf>
    <xf borderId="2" fillId="3" fontId="4" numFmtId="3" xfId="0" applyAlignment="1" applyBorder="1" applyFont="1" applyNumberFormat="1">
      <alignment horizontal="right" vertical="bottom"/>
    </xf>
    <xf borderId="3" fillId="0" fontId="11" numFmtId="0" xfId="0" applyAlignment="1" applyBorder="1" applyFont="1">
      <alignment horizontal="center" readingOrder="0" vertical="bottom"/>
    </xf>
    <xf borderId="2" fillId="3" fontId="4" numFmtId="3" xfId="0" applyAlignment="1" applyBorder="1" applyFont="1" applyNumberFormat="1">
      <alignment horizontal="center" readingOrder="0"/>
    </xf>
    <xf borderId="2" fillId="4" fontId="2" numFmtId="3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1" t="s">
        <v>0</v>
      </c>
      <c r="D1" s="2" t="s">
        <v>1</v>
      </c>
      <c r="E1" s="2" t="s">
        <v>2</v>
      </c>
      <c r="F1" s="2" t="s">
        <v>3</v>
      </c>
      <c r="G1" s="3"/>
      <c r="I1" s="3"/>
    </row>
    <row r="2">
      <c r="A2" s="4" t="s">
        <v>4</v>
      </c>
      <c r="B2" s="5">
        <v>46174.0</v>
      </c>
      <c r="C2" s="6"/>
      <c r="D2" s="6"/>
      <c r="E2" s="6"/>
      <c r="F2" s="6"/>
      <c r="G2" s="7">
        <f t="shared" ref="G2:G29" si="1">SUM(C2+D2+E2+F2)</f>
        <v>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/>
      <c r="D3" s="6"/>
      <c r="E3" s="6"/>
      <c r="F3" s="6"/>
      <c r="G3" s="7">
        <f t="shared" si="1"/>
        <v>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/>
      <c r="D4" s="6"/>
      <c r="E4" s="6"/>
      <c r="F4" s="9"/>
      <c r="G4" s="7">
        <f t="shared" si="1"/>
        <v>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/>
      <c r="D5" s="6"/>
      <c r="E5" s="6"/>
      <c r="F5" s="9"/>
      <c r="G5" s="7">
        <f t="shared" si="1"/>
        <v>0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/>
      <c r="D6" s="6"/>
      <c r="E6" s="6"/>
      <c r="F6" s="9"/>
      <c r="G6" s="7">
        <f t="shared" si="1"/>
        <v>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/>
      <c r="D7" s="6"/>
      <c r="E7" s="6"/>
      <c r="F7" s="9"/>
      <c r="G7" s="7">
        <f t="shared" si="1"/>
        <v>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9"/>
      <c r="G8" s="7">
        <f t="shared" si="1"/>
        <v>0</v>
      </c>
      <c r="H8" s="11" t="s">
        <v>5</v>
      </c>
      <c r="I8" s="12">
        <f>SUM(G2:G8)</f>
        <v>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0</v>
      </c>
      <c r="D30" s="45">
        <f t="shared" si="2"/>
        <v>0</v>
      </c>
      <c r="E30" s="45">
        <f t="shared" si="2"/>
        <v>0</v>
      </c>
      <c r="F30" s="45">
        <f t="shared" si="2"/>
        <v>0</v>
      </c>
      <c r="G30" s="45">
        <f t="shared" si="2"/>
        <v>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14</v>
      </c>
      <c r="D1" s="48" t="s">
        <v>15</v>
      </c>
      <c r="E1" s="48" t="s">
        <v>16</v>
      </c>
      <c r="F1" s="48" t="s">
        <v>17</v>
      </c>
      <c r="G1" s="3"/>
      <c r="I1" s="3"/>
    </row>
    <row r="2">
      <c r="A2" s="4" t="s">
        <v>4</v>
      </c>
      <c r="B2" s="5">
        <v>46174.0</v>
      </c>
      <c r="C2" s="6">
        <v>18455.0</v>
      </c>
      <c r="D2" s="6">
        <v>11745.0</v>
      </c>
      <c r="E2" s="6">
        <v>9213.0</v>
      </c>
      <c r="F2" s="6">
        <v>6908.0</v>
      </c>
      <c r="G2" s="7">
        <f t="shared" ref="G2:G29" si="1">SUM(C2+D2+E2+F2)</f>
        <v>46321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20222.0</v>
      </c>
      <c r="D3" s="6">
        <v>15925.0</v>
      </c>
      <c r="E3" s="6">
        <v>8237.0</v>
      </c>
      <c r="F3" s="6">
        <v>7653.0</v>
      </c>
      <c r="G3" s="7">
        <f t="shared" si="1"/>
        <v>52037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16000.0</v>
      </c>
      <c r="D4" s="6">
        <v>15458.0</v>
      </c>
      <c r="E4" s="6">
        <v>5940.0</v>
      </c>
      <c r="F4" s="49">
        <v>6789.0</v>
      </c>
      <c r="G4" s="7">
        <f t="shared" si="1"/>
        <v>44187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6967.0</v>
      </c>
      <c r="D5" s="6">
        <v>15955.0</v>
      </c>
      <c r="E5" s="49">
        <v>10138.0</v>
      </c>
      <c r="F5" s="49">
        <v>8735.0</v>
      </c>
      <c r="G5" s="7">
        <f t="shared" si="1"/>
        <v>41795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18354.0</v>
      </c>
      <c r="D6" s="6">
        <v>11366.0</v>
      </c>
      <c r="E6" s="6">
        <v>11025.0</v>
      </c>
      <c r="F6" s="6">
        <v>7975.0</v>
      </c>
      <c r="G6" s="7">
        <f t="shared" si="1"/>
        <v>48720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13187.0</v>
      </c>
      <c r="D7" s="6">
        <v>5000.0</v>
      </c>
      <c r="E7" s="6">
        <v>14331.0</v>
      </c>
      <c r="F7" s="6">
        <v>8846.0</v>
      </c>
      <c r="G7" s="7">
        <f t="shared" si="1"/>
        <v>41364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11101.0</v>
      </c>
      <c r="D8" s="6">
        <v>5500.0</v>
      </c>
      <c r="E8" s="49">
        <v>12331.0</v>
      </c>
      <c r="F8" s="6">
        <v>6708.0</v>
      </c>
      <c r="G8" s="7">
        <f t="shared" si="1"/>
        <v>35640</v>
      </c>
      <c r="H8" s="11" t="s">
        <v>5</v>
      </c>
      <c r="I8" s="12">
        <f>SUM(G2:G8)</f>
        <v>310064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17127.0</v>
      </c>
      <c r="D9" s="16">
        <v>5821.0</v>
      </c>
      <c r="E9" s="50">
        <v>9467.0</v>
      </c>
      <c r="F9" s="16">
        <v>11009.0</v>
      </c>
      <c r="G9" s="17">
        <f t="shared" si="1"/>
        <v>43424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9033.0</v>
      </c>
      <c r="D10" s="19"/>
      <c r="E10" s="20"/>
      <c r="F10" s="51">
        <v>8564.0</v>
      </c>
      <c r="G10" s="17">
        <f t="shared" si="1"/>
        <v>17597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18474.0</v>
      </c>
      <c r="D11" s="20"/>
      <c r="E11" s="20"/>
      <c r="F11" s="19">
        <v>7124.0</v>
      </c>
      <c r="G11" s="17">
        <f t="shared" si="1"/>
        <v>25598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11514.0</v>
      </c>
      <c r="D12" s="20"/>
      <c r="E12" s="20"/>
      <c r="F12" s="20"/>
      <c r="G12" s="17">
        <f t="shared" si="1"/>
        <v>11514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15679.0</v>
      </c>
      <c r="D13" s="20"/>
      <c r="E13" s="20"/>
      <c r="F13" s="20"/>
      <c r="G13" s="17">
        <f t="shared" si="1"/>
        <v>15679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9533.0</v>
      </c>
      <c r="D14" s="20"/>
      <c r="E14" s="20"/>
      <c r="F14" s="19"/>
      <c r="G14" s="17">
        <f t="shared" si="1"/>
        <v>9533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123345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52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5"/>
      <c r="F23" s="35"/>
      <c r="G23" s="39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185646</v>
      </c>
      <c r="D30" s="45">
        <f t="shared" si="2"/>
        <v>86770</v>
      </c>
      <c r="E30" s="45">
        <f t="shared" si="2"/>
        <v>80682</v>
      </c>
      <c r="F30" s="45">
        <f t="shared" si="2"/>
        <v>80311</v>
      </c>
      <c r="G30" s="45">
        <f t="shared" si="2"/>
        <v>433409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19</v>
      </c>
      <c r="D31" s="46" t="s">
        <v>20</v>
      </c>
      <c r="E31" s="46" t="s">
        <v>21</v>
      </c>
      <c r="F31" s="46" t="s">
        <v>22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  <row r="934">
      <c r="C934" s="3"/>
      <c r="D934" s="3"/>
      <c r="E934" s="3"/>
      <c r="F934" s="3"/>
      <c r="G934" s="3"/>
      <c r="I934" s="3"/>
    </row>
    <row r="935">
      <c r="C935" s="3"/>
      <c r="D935" s="3"/>
      <c r="E935" s="3"/>
      <c r="F935" s="3"/>
      <c r="G935" s="3"/>
      <c r="I935" s="3"/>
    </row>
    <row r="936">
      <c r="C936" s="3"/>
      <c r="D936" s="3"/>
      <c r="E936" s="3"/>
      <c r="F936" s="3"/>
      <c r="G936" s="3"/>
      <c r="I936" s="3"/>
    </row>
    <row r="937">
      <c r="C937" s="3"/>
      <c r="D937" s="3"/>
      <c r="E937" s="3"/>
      <c r="F937" s="3"/>
      <c r="G937" s="3"/>
      <c r="I937" s="3"/>
    </row>
    <row r="938">
      <c r="C938" s="3"/>
      <c r="D938" s="3"/>
      <c r="E938" s="3"/>
      <c r="F938" s="3"/>
      <c r="G938" s="3"/>
      <c r="I938" s="3"/>
    </row>
    <row r="939">
      <c r="C939" s="3"/>
      <c r="D939" s="3"/>
      <c r="E939" s="3"/>
      <c r="F939" s="3"/>
      <c r="G939" s="3"/>
      <c r="I939" s="3"/>
    </row>
    <row r="940">
      <c r="C940" s="3"/>
      <c r="D940" s="3"/>
      <c r="E940" s="3"/>
      <c r="F940" s="3"/>
      <c r="G940" s="3"/>
      <c r="I940" s="3"/>
    </row>
    <row r="941">
      <c r="C941" s="3"/>
      <c r="D941" s="3"/>
      <c r="E941" s="3"/>
      <c r="F941" s="3"/>
      <c r="G941" s="3"/>
      <c r="I941" s="3"/>
    </row>
    <row r="942">
      <c r="C942" s="3"/>
      <c r="D942" s="3"/>
      <c r="E942" s="3"/>
      <c r="F942" s="3"/>
      <c r="G942" s="3"/>
      <c r="I942" s="3"/>
    </row>
    <row r="943">
      <c r="C943" s="3"/>
      <c r="D943" s="3"/>
      <c r="E943" s="3"/>
      <c r="F943" s="3"/>
      <c r="G943" s="3"/>
      <c r="I943" s="3"/>
    </row>
    <row r="944">
      <c r="C944" s="3"/>
      <c r="D944" s="3"/>
      <c r="E944" s="3"/>
      <c r="F944" s="3"/>
      <c r="G944" s="3"/>
      <c r="I944" s="3"/>
    </row>
    <row r="945">
      <c r="C945" s="3"/>
      <c r="D945" s="3"/>
      <c r="E945" s="3"/>
      <c r="F945" s="3"/>
      <c r="G945" s="3"/>
      <c r="I945" s="3"/>
    </row>
    <row r="946">
      <c r="C946" s="3"/>
      <c r="D946" s="3"/>
      <c r="E946" s="3"/>
      <c r="F946" s="3"/>
      <c r="G946" s="3"/>
      <c r="I946" s="3"/>
    </row>
    <row r="947">
      <c r="C947" s="3"/>
      <c r="D947" s="3"/>
      <c r="E947" s="3"/>
      <c r="F947" s="3"/>
      <c r="G947" s="3"/>
      <c r="I947" s="3"/>
    </row>
    <row r="948">
      <c r="C948" s="3"/>
      <c r="D948" s="3"/>
      <c r="E948" s="3"/>
      <c r="F948" s="3"/>
      <c r="G948" s="3"/>
      <c r="I948" s="3"/>
    </row>
    <row r="949">
      <c r="C949" s="3"/>
      <c r="D949" s="3"/>
      <c r="E949" s="3"/>
      <c r="F949" s="3"/>
      <c r="G949" s="3"/>
      <c r="I949" s="3"/>
    </row>
    <row r="950">
      <c r="C950" s="3"/>
      <c r="D950" s="3"/>
      <c r="E950" s="3"/>
      <c r="F950" s="3"/>
      <c r="G950" s="3"/>
      <c r="I950" s="3"/>
    </row>
    <row r="951">
      <c r="C951" s="3"/>
      <c r="D951" s="3"/>
      <c r="E951" s="3"/>
      <c r="F951" s="3"/>
      <c r="G951" s="3"/>
      <c r="I951" s="3"/>
    </row>
    <row r="952">
      <c r="C952" s="3"/>
      <c r="D952" s="3"/>
      <c r="E952" s="3"/>
      <c r="F952" s="3"/>
      <c r="G952" s="3"/>
      <c r="I952" s="3"/>
    </row>
    <row r="953">
      <c r="C953" s="3"/>
      <c r="D953" s="3"/>
      <c r="E953" s="3"/>
      <c r="F953" s="3"/>
      <c r="G953" s="3"/>
      <c r="I953" s="3"/>
    </row>
    <row r="954">
      <c r="C954" s="3"/>
      <c r="D954" s="3"/>
      <c r="E954" s="3"/>
      <c r="F954" s="3"/>
      <c r="G954" s="3"/>
      <c r="I954" s="3"/>
    </row>
    <row r="955">
      <c r="C955" s="3"/>
      <c r="D955" s="3"/>
      <c r="E955" s="3"/>
      <c r="F955" s="3"/>
      <c r="G955" s="3"/>
      <c r="I955" s="3"/>
    </row>
    <row r="956">
      <c r="C956" s="3"/>
      <c r="D956" s="3"/>
      <c r="E956" s="3"/>
      <c r="F956" s="3"/>
      <c r="G956" s="3"/>
      <c r="I956" s="3"/>
    </row>
    <row r="957">
      <c r="C957" s="3"/>
      <c r="D957" s="3"/>
      <c r="E957" s="3"/>
      <c r="F957" s="3"/>
      <c r="G957" s="3"/>
      <c r="I957" s="3"/>
    </row>
    <row r="958">
      <c r="C958" s="3"/>
      <c r="D958" s="3"/>
      <c r="E958" s="3"/>
      <c r="F958" s="3"/>
      <c r="G958" s="3"/>
      <c r="I958" s="3"/>
    </row>
    <row r="959">
      <c r="C959" s="3"/>
      <c r="D959" s="3"/>
      <c r="E959" s="3"/>
      <c r="F959" s="3"/>
      <c r="G959" s="3"/>
      <c r="I959" s="3"/>
    </row>
    <row r="960">
      <c r="C960" s="3"/>
      <c r="D960" s="3"/>
      <c r="E960" s="3"/>
      <c r="F960" s="3"/>
      <c r="G960" s="3"/>
      <c r="I960" s="3"/>
    </row>
    <row r="961">
      <c r="C961" s="3"/>
      <c r="D961" s="3"/>
      <c r="E961" s="3"/>
      <c r="F961" s="3"/>
      <c r="G961" s="3"/>
      <c r="I961" s="3"/>
    </row>
    <row r="962">
      <c r="C962" s="3"/>
      <c r="D962" s="3"/>
      <c r="E962" s="3"/>
      <c r="F962" s="3"/>
      <c r="G962" s="3"/>
      <c r="I962" s="3"/>
    </row>
    <row r="963">
      <c r="C963" s="3"/>
      <c r="D963" s="3"/>
      <c r="E963" s="3"/>
      <c r="F963" s="3"/>
      <c r="G963" s="3"/>
      <c r="I963" s="3"/>
    </row>
    <row r="964">
      <c r="C964" s="3"/>
      <c r="D964" s="3"/>
      <c r="E964" s="3"/>
      <c r="F964" s="3"/>
      <c r="G964" s="3"/>
      <c r="I964" s="3"/>
    </row>
    <row r="965">
      <c r="C965" s="3"/>
      <c r="D965" s="3"/>
      <c r="E965" s="3"/>
      <c r="F965" s="3"/>
      <c r="G965" s="3"/>
      <c r="I965" s="3"/>
    </row>
    <row r="966">
      <c r="C966" s="3"/>
      <c r="D966" s="3"/>
      <c r="E966" s="3"/>
      <c r="F966" s="3"/>
      <c r="G966" s="3"/>
      <c r="I966" s="3"/>
    </row>
    <row r="967">
      <c r="C967" s="3"/>
      <c r="D967" s="3"/>
      <c r="E967" s="3"/>
      <c r="F967" s="3"/>
      <c r="G967" s="3"/>
      <c r="I967" s="3"/>
    </row>
    <row r="968">
      <c r="C968" s="3"/>
      <c r="D968" s="3"/>
      <c r="E968" s="3"/>
      <c r="F968" s="3"/>
      <c r="G968" s="3"/>
      <c r="I968" s="3"/>
    </row>
    <row r="969">
      <c r="C969" s="3"/>
      <c r="D969" s="3"/>
      <c r="E969" s="3"/>
      <c r="F969" s="3"/>
      <c r="G969" s="3"/>
      <c r="I969" s="3"/>
    </row>
    <row r="970">
      <c r="C970" s="3"/>
      <c r="D970" s="3"/>
      <c r="E970" s="3"/>
      <c r="F970" s="3"/>
      <c r="G970" s="3"/>
      <c r="I970" s="3"/>
    </row>
    <row r="971">
      <c r="C971" s="3"/>
      <c r="D971" s="3"/>
      <c r="E971" s="3"/>
      <c r="F971" s="3"/>
      <c r="G971" s="3"/>
      <c r="I971" s="3"/>
    </row>
    <row r="972">
      <c r="C972" s="3"/>
      <c r="D972" s="3"/>
      <c r="E972" s="3"/>
      <c r="F972" s="3"/>
      <c r="G972" s="3"/>
      <c r="I972" s="3"/>
    </row>
    <row r="973">
      <c r="C973" s="3"/>
      <c r="D973" s="3"/>
      <c r="E973" s="3"/>
      <c r="F973" s="3"/>
      <c r="G973" s="3"/>
      <c r="I973" s="3"/>
    </row>
    <row r="974">
      <c r="C974" s="3"/>
      <c r="D974" s="3"/>
      <c r="E974" s="3"/>
      <c r="F974" s="3"/>
      <c r="G974" s="3"/>
      <c r="I974" s="3"/>
    </row>
    <row r="975">
      <c r="C975" s="3"/>
      <c r="D975" s="3"/>
      <c r="E975" s="3"/>
      <c r="F975" s="3"/>
      <c r="G975" s="3"/>
      <c r="I975" s="3"/>
    </row>
    <row r="976">
      <c r="C976" s="3"/>
      <c r="D976" s="3"/>
      <c r="E976" s="3"/>
      <c r="F976" s="3"/>
      <c r="G976" s="3"/>
      <c r="I976" s="3"/>
    </row>
    <row r="977">
      <c r="C977" s="3"/>
      <c r="D977" s="3"/>
      <c r="E977" s="3"/>
      <c r="F977" s="3"/>
      <c r="G977" s="3"/>
      <c r="I977" s="3"/>
    </row>
    <row r="978">
      <c r="C978" s="3"/>
      <c r="D978" s="3"/>
      <c r="E978" s="3"/>
      <c r="F978" s="3"/>
      <c r="G978" s="3"/>
      <c r="I978" s="3"/>
    </row>
    <row r="979">
      <c r="C979" s="3"/>
      <c r="D979" s="3"/>
      <c r="E979" s="3"/>
      <c r="F979" s="3"/>
      <c r="G979" s="3"/>
      <c r="I979" s="3"/>
    </row>
    <row r="980">
      <c r="C980" s="3"/>
      <c r="D980" s="3"/>
      <c r="E980" s="3"/>
      <c r="F980" s="3"/>
      <c r="G980" s="3"/>
      <c r="I980" s="3"/>
    </row>
    <row r="981">
      <c r="C981" s="3"/>
      <c r="D981" s="3"/>
      <c r="E981" s="3"/>
      <c r="F981" s="3"/>
      <c r="G981" s="3"/>
      <c r="I981" s="3"/>
    </row>
    <row r="982">
      <c r="C982" s="3"/>
      <c r="D982" s="3"/>
      <c r="E982" s="3"/>
      <c r="F982" s="3"/>
      <c r="G982" s="3"/>
      <c r="I982" s="3"/>
    </row>
    <row r="983">
      <c r="C983" s="3"/>
      <c r="D983" s="3"/>
      <c r="E983" s="3"/>
      <c r="F983" s="3"/>
      <c r="G983" s="3"/>
      <c r="I983" s="3"/>
    </row>
    <row r="984">
      <c r="C984" s="3"/>
      <c r="D984" s="3"/>
      <c r="E984" s="3"/>
      <c r="F984" s="3"/>
      <c r="G984" s="3"/>
      <c r="I984" s="3"/>
    </row>
    <row r="985">
      <c r="C985" s="3"/>
      <c r="D985" s="3"/>
      <c r="E985" s="3"/>
      <c r="F985" s="3"/>
      <c r="G985" s="3"/>
      <c r="I985" s="3"/>
    </row>
    <row r="986">
      <c r="C986" s="3"/>
      <c r="D986" s="3"/>
      <c r="E986" s="3"/>
      <c r="F986" s="3"/>
      <c r="G986" s="3"/>
      <c r="I986" s="3"/>
    </row>
    <row r="987">
      <c r="C987" s="3"/>
      <c r="D987" s="3"/>
      <c r="E987" s="3"/>
      <c r="F987" s="3"/>
      <c r="G987" s="3"/>
      <c r="I987" s="3"/>
    </row>
    <row r="988">
      <c r="C988" s="3"/>
      <c r="D988" s="3"/>
      <c r="E988" s="3"/>
      <c r="F988" s="3"/>
      <c r="G988" s="3"/>
      <c r="I988" s="3"/>
    </row>
    <row r="989">
      <c r="C989" s="3"/>
      <c r="D989" s="3"/>
      <c r="E989" s="3"/>
      <c r="F989" s="3"/>
      <c r="G989" s="3"/>
      <c r="I989" s="3"/>
    </row>
    <row r="990">
      <c r="C990" s="3"/>
      <c r="D990" s="3"/>
      <c r="E990" s="3"/>
      <c r="F990" s="3"/>
      <c r="G990" s="3"/>
      <c r="I990" s="3"/>
    </row>
    <row r="991">
      <c r="C991" s="3"/>
      <c r="D991" s="3"/>
      <c r="E991" s="3"/>
      <c r="F991" s="3"/>
      <c r="G991" s="3"/>
      <c r="I991" s="3"/>
    </row>
    <row r="992">
      <c r="C992" s="3"/>
      <c r="D992" s="3"/>
      <c r="E992" s="3"/>
      <c r="F992" s="3"/>
      <c r="G992" s="3"/>
      <c r="I992" s="3"/>
    </row>
    <row r="993">
      <c r="C993" s="3"/>
      <c r="D993" s="3"/>
      <c r="E993" s="3"/>
      <c r="F993" s="3"/>
      <c r="G993" s="3"/>
      <c r="I993" s="3"/>
    </row>
    <row r="994">
      <c r="C994" s="3"/>
      <c r="D994" s="3"/>
      <c r="E994" s="3"/>
      <c r="F994" s="3"/>
      <c r="G994" s="3"/>
      <c r="I994" s="3"/>
    </row>
    <row r="995">
      <c r="C995" s="3"/>
      <c r="D995" s="3"/>
      <c r="E995" s="3"/>
      <c r="F995" s="3"/>
      <c r="G995" s="3"/>
      <c r="I995" s="3"/>
    </row>
    <row r="996">
      <c r="C996" s="3"/>
      <c r="D996" s="3"/>
      <c r="E996" s="3"/>
      <c r="F996" s="3"/>
      <c r="G996" s="3"/>
      <c r="I996" s="3"/>
    </row>
    <row r="997">
      <c r="C997" s="3"/>
      <c r="D997" s="3"/>
      <c r="E997" s="3"/>
      <c r="F997" s="3"/>
      <c r="G997" s="3"/>
      <c r="I997" s="3"/>
    </row>
    <row r="998">
      <c r="C998" s="3"/>
      <c r="D998" s="3"/>
      <c r="E998" s="3"/>
      <c r="F998" s="3"/>
      <c r="G998" s="3"/>
      <c r="I998" s="3"/>
    </row>
    <row r="999">
      <c r="C999" s="3"/>
      <c r="D999" s="3"/>
      <c r="E999" s="3"/>
      <c r="F999" s="3"/>
      <c r="G999" s="3"/>
      <c r="I999" s="3"/>
    </row>
    <row r="1000">
      <c r="C1000" s="3"/>
      <c r="D1000" s="3"/>
      <c r="E1000" s="3"/>
      <c r="F1000" s="3"/>
      <c r="G1000" s="3"/>
      <c r="I1000" s="3"/>
    </row>
    <row r="1001">
      <c r="C1001" s="3"/>
      <c r="D1001" s="3"/>
      <c r="E1001" s="3"/>
      <c r="F1001" s="3"/>
      <c r="G1001" s="3"/>
      <c r="I1001" s="3"/>
    </row>
  </sheetData>
  <mergeCells count="4">
    <mergeCell ref="A2:A8"/>
    <mergeCell ref="A9:A15"/>
    <mergeCell ref="A16:A22"/>
    <mergeCell ref="A23:A2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23</v>
      </c>
      <c r="D1" s="48" t="s">
        <v>24</v>
      </c>
      <c r="E1" s="48" t="s">
        <v>25</v>
      </c>
      <c r="F1" s="48" t="s">
        <v>26</v>
      </c>
      <c r="G1" s="3"/>
      <c r="I1" s="3"/>
    </row>
    <row r="2">
      <c r="A2" s="4" t="s">
        <v>4</v>
      </c>
      <c r="B2" s="5">
        <v>46174.0</v>
      </c>
      <c r="C2" s="6">
        <v>5927.0</v>
      </c>
      <c r="D2" s="6">
        <v>10482.0</v>
      </c>
      <c r="E2" s="6">
        <v>11558.0</v>
      </c>
      <c r="F2" s="6">
        <v>10547.0</v>
      </c>
      <c r="G2" s="7">
        <f t="shared" ref="G2:G29" si="1">SUM(C2+D2+E2+F2)</f>
        <v>38514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7010.0</v>
      </c>
      <c r="D3" s="6">
        <v>11345.0</v>
      </c>
      <c r="E3" s="6">
        <v>12151.0</v>
      </c>
      <c r="F3" s="6">
        <v>10201.0</v>
      </c>
      <c r="G3" s="7">
        <f t="shared" si="1"/>
        <v>40707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6784.0</v>
      </c>
      <c r="D4" s="6">
        <v>13402.0</v>
      </c>
      <c r="E4" s="6">
        <v>13426.0</v>
      </c>
      <c r="F4" s="6">
        <v>10468.0</v>
      </c>
      <c r="G4" s="7">
        <f t="shared" si="1"/>
        <v>44080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5253.0</v>
      </c>
      <c r="D5" s="6">
        <v>12120.0</v>
      </c>
      <c r="E5" s="6">
        <v>10955.0</v>
      </c>
      <c r="F5" s="6">
        <v>10613.0</v>
      </c>
      <c r="G5" s="7">
        <f t="shared" si="1"/>
        <v>38941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6292.0</v>
      </c>
      <c r="D6" s="6">
        <v>8559.0</v>
      </c>
      <c r="E6" s="6"/>
      <c r="F6" s="6">
        <v>9023.0</v>
      </c>
      <c r="G6" s="7">
        <f t="shared" si="1"/>
        <v>23874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7799.0</v>
      </c>
      <c r="D7" s="6">
        <v>18059.0</v>
      </c>
      <c r="E7" s="6"/>
      <c r="F7" s="6">
        <v>13389.0</v>
      </c>
      <c r="G7" s="7">
        <f t="shared" si="1"/>
        <v>39247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/>
      <c r="D8" s="6"/>
      <c r="E8" s="9"/>
      <c r="F8" s="6"/>
      <c r="G8" s="7">
        <f t="shared" si="1"/>
        <v>0</v>
      </c>
      <c r="H8" s="11" t="s">
        <v>5</v>
      </c>
      <c r="I8" s="12">
        <f>SUM(G2:G8)</f>
        <v>225363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5"/>
      <c r="D9" s="16"/>
      <c r="E9" s="15"/>
      <c r="F9" s="15"/>
      <c r="G9" s="17">
        <f t="shared" si="1"/>
        <v>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/>
      <c r="D10" s="19"/>
      <c r="E10" s="20"/>
      <c r="F10" s="20"/>
      <c r="G10" s="17">
        <f t="shared" si="1"/>
        <v>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39065</v>
      </c>
      <c r="D30" s="45">
        <f t="shared" si="2"/>
        <v>73967</v>
      </c>
      <c r="E30" s="45">
        <f t="shared" si="2"/>
        <v>48090</v>
      </c>
      <c r="F30" s="45">
        <f t="shared" si="2"/>
        <v>64241</v>
      </c>
      <c r="G30" s="45">
        <f t="shared" si="2"/>
        <v>225363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27</v>
      </c>
      <c r="D1" s="48" t="s">
        <v>28</v>
      </c>
      <c r="E1" s="48" t="s">
        <v>29</v>
      </c>
      <c r="F1" s="48" t="s">
        <v>30</v>
      </c>
      <c r="G1" s="3"/>
      <c r="I1" s="3"/>
    </row>
    <row r="2">
      <c r="A2" s="4" t="s">
        <v>4</v>
      </c>
      <c r="B2" s="5">
        <v>46174.0</v>
      </c>
      <c r="C2" s="6">
        <v>13197.0</v>
      </c>
      <c r="D2" s="6">
        <v>18502.0</v>
      </c>
      <c r="E2" s="6">
        <v>6882.0</v>
      </c>
      <c r="F2" s="6">
        <v>8651.0</v>
      </c>
      <c r="G2" s="7">
        <f t="shared" ref="G2:G29" si="1">SUM(C2+D2+E2+F2)</f>
        <v>47232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7259.0</v>
      </c>
      <c r="D3" s="6">
        <v>22167.0</v>
      </c>
      <c r="E3" s="6">
        <v>7603.0</v>
      </c>
      <c r="F3" s="6">
        <v>9909.0</v>
      </c>
      <c r="G3" s="7">
        <f t="shared" si="1"/>
        <v>46938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12611.0</v>
      </c>
      <c r="D4" s="6">
        <v>17226.0</v>
      </c>
      <c r="E4" s="6">
        <v>9547.0</v>
      </c>
      <c r="F4" s="6">
        <v>5144.0</v>
      </c>
      <c r="G4" s="7">
        <f t="shared" si="1"/>
        <v>44528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10771.0</v>
      </c>
      <c r="D5" s="6">
        <v>16083.0</v>
      </c>
      <c r="E5" s="6">
        <v>11246.0</v>
      </c>
      <c r="F5" s="6">
        <v>7845.0</v>
      </c>
      <c r="G5" s="7">
        <f t="shared" si="1"/>
        <v>45945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17316.0</v>
      </c>
      <c r="D6" s="6">
        <v>20800.0</v>
      </c>
      <c r="E6" s="6">
        <v>8713.0</v>
      </c>
      <c r="F6" s="6">
        <v>9211.0</v>
      </c>
      <c r="G6" s="7">
        <f t="shared" si="1"/>
        <v>56040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16009.0</v>
      </c>
      <c r="D7" s="6">
        <v>14523.0</v>
      </c>
      <c r="E7" s="6">
        <v>6502.0</v>
      </c>
      <c r="F7" s="6">
        <v>8676.0</v>
      </c>
      <c r="G7" s="7">
        <f t="shared" si="1"/>
        <v>45710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10499.0</v>
      </c>
      <c r="D8" s="6">
        <v>7186.0</v>
      </c>
      <c r="E8" s="6">
        <v>6566.0</v>
      </c>
      <c r="F8" s="6">
        <v>11060.0</v>
      </c>
      <c r="G8" s="7">
        <f t="shared" si="1"/>
        <v>35311</v>
      </c>
      <c r="H8" s="11" t="s">
        <v>5</v>
      </c>
      <c r="I8" s="12">
        <f>SUM(G2:G8)</f>
        <v>321704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16844.0</v>
      </c>
      <c r="D9" s="16">
        <v>21093.0</v>
      </c>
      <c r="E9" s="50">
        <v>8551.0</v>
      </c>
      <c r="F9" s="50">
        <v>7885.0</v>
      </c>
      <c r="G9" s="17">
        <f t="shared" si="1"/>
        <v>54373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12075.0</v>
      </c>
      <c r="D10" s="19">
        <v>19375.0</v>
      </c>
      <c r="E10" s="51">
        <v>8383.0</v>
      </c>
      <c r="F10" s="51">
        <v>5460.0</v>
      </c>
      <c r="G10" s="17">
        <f t="shared" si="1"/>
        <v>45293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13639.0</v>
      </c>
      <c r="D11" s="51">
        <v>16926.0</v>
      </c>
      <c r="E11" s="51">
        <v>7246.0</v>
      </c>
      <c r="F11" s="51">
        <v>8502.0</v>
      </c>
      <c r="G11" s="17">
        <f t="shared" si="1"/>
        <v>46313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16676.0</v>
      </c>
      <c r="D12" s="51">
        <v>8184.0</v>
      </c>
      <c r="E12" s="51">
        <v>10426.0</v>
      </c>
      <c r="F12" s="51">
        <v>5875.0</v>
      </c>
      <c r="G12" s="17">
        <f t="shared" si="1"/>
        <v>41161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15920.0</v>
      </c>
      <c r="D13" s="51">
        <v>19204.0</v>
      </c>
      <c r="E13" s="51">
        <v>12475.0</v>
      </c>
      <c r="F13" s="51">
        <v>4021.0</v>
      </c>
      <c r="G13" s="17">
        <f t="shared" si="1"/>
        <v>51620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20800.0</v>
      </c>
      <c r="D14" s="51">
        <v>21167.0</v>
      </c>
      <c r="E14" s="51">
        <v>16730.0</v>
      </c>
      <c r="F14" s="19">
        <v>16597.0</v>
      </c>
      <c r="G14" s="17">
        <f t="shared" si="1"/>
        <v>75294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314054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183616</v>
      </c>
      <c r="D30" s="45">
        <f t="shared" si="2"/>
        <v>222436</v>
      </c>
      <c r="E30" s="45">
        <f t="shared" si="2"/>
        <v>120870</v>
      </c>
      <c r="F30" s="45">
        <f t="shared" si="2"/>
        <v>108836</v>
      </c>
      <c r="G30" s="45">
        <f t="shared" si="2"/>
        <v>635758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31</v>
      </c>
      <c r="D1" s="48" t="s">
        <v>32</v>
      </c>
      <c r="E1" s="48" t="s">
        <v>33</v>
      </c>
      <c r="F1" s="48" t="s">
        <v>34</v>
      </c>
      <c r="G1" s="3"/>
      <c r="I1" s="3"/>
    </row>
    <row r="2">
      <c r="A2" s="4" t="s">
        <v>4</v>
      </c>
      <c r="B2" s="5">
        <v>46174.0</v>
      </c>
      <c r="C2" s="6">
        <v>10193.0</v>
      </c>
      <c r="D2" s="6">
        <v>9287.0</v>
      </c>
      <c r="E2" s="6">
        <v>13095.0</v>
      </c>
      <c r="F2" s="6">
        <v>11472.0</v>
      </c>
      <c r="G2" s="7">
        <f t="shared" ref="G2:G29" si="1">SUM(C2+D2+E2+F2)</f>
        <v>44047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13403.0</v>
      </c>
      <c r="D3" s="6">
        <v>6033.0</v>
      </c>
      <c r="E3" s="6">
        <v>13328.0</v>
      </c>
      <c r="F3" s="6">
        <v>13815.0</v>
      </c>
      <c r="G3" s="7">
        <f t="shared" si="1"/>
        <v>46579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11815.0</v>
      </c>
      <c r="D4" s="6">
        <v>4789.0</v>
      </c>
      <c r="E4" s="6">
        <v>16684.0</v>
      </c>
      <c r="F4" s="49">
        <v>11448.0</v>
      </c>
      <c r="G4" s="7">
        <f t="shared" si="1"/>
        <v>44736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11570.0</v>
      </c>
      <c r="D5" s="6">
        <v>8010.0</v>
      </c>
      <c r="E5" s="6">
        <v>14629.0</v>
      </c>
      <c r="F5" s="49">
        <v>14735.0</v>
      </c>
      <c r="G5" s="7">
        <f t="shared" si="1"/>
        <v>48944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10298.0</v>
      </c>
      <c r="D6" s="6">
        <v>8302.0</v>
      </c>
      <c r="E6" s="6">
        <v>11885.0</v>
      </c>
      <c r="F6" s="49">
        <v>10102.0</v>
      </c>
      <c r="G6" s="7">
        <f t="shared" si="1"/>
        <v>40587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17247.0</v>
      </c>
      <c r="D7" s="6">
        <v>9181.0</v>
      </c>
      <c r="E7" s="6">
        <v>11311.0</v>
      </c>
      <c r="F7" s="49">
        <v>11449.0</v>
      </c>
      <c r="G7" s="7">
        <f t="shared" si="1"/>
        <v>49188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10052.0</v>
      </c>
      <c r="D8" s="6">
        <v>6283.0</v>
      </c>
      <c r="E8" s="49">
        <v>11232.0</v>
      </c>
      <c r="F8" s="49">
        <v>11078.0</v>
      </c>
      <c r="G8" s="7">
        <f t="shared" si="1"/>
        <v>38645</v>
      </c>
      <c r="H8" s="11" t="s">
        <v>5</v>
      </c>
      <c r="I8" s="12">
        <f>SUM(G2:G8)</f>
        <v>312726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10338.0</v>
      </c>
      <c r="D9" s="16">
        <v>8095.0</v>
      </c>
      <c r="E9" s="50">
        <v>11985.0</v>
      </c>
      <c r="F9" s="50">
        <v>10293.0</v>
      </c>
      <c r="G9" s="17">
        <f t="shared" si="1"/>
        <v>40711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11317.0</v>
      </c>
      <c r="D10" s="19">
        <v>6371.0</v>
      </c>
      <c r="E10" s="51">
        <v>16462.0</v>
      </c>
      <c r="F10" s="51">
        <v>10800.0</v>
      </c>
      <c r="G10" s="17">
        <f t="shared" si="1"/>
        <v>44950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10029.0</v>
      </c>
      <c r="D11" s="51">
        <v>6875.0</v>
      </c>
      <c r="E11" s="51">
        <v>13803.0</v>
      </c>
      <c r="F11" s="51">
        <v>10197.0</v>
      </c>
      <c r="G11" s="17">
        <f t="shared" si="1"/>
        <v>40904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126565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116262</v>
      </c>
      <c r="D30" s="45">
        <f t="shared" si="2"/>
        <v>73226</v>
      </c>
      <c r="E30" s="45">
        <f t="shared" si="2"/>
        <v>134414</v>
      </c>
      <c r="F30" s="45">
        <f t="shared" si="2"/>
        <v>115389</v>
      </c>
      <c r="G30" s="45">
        <f t="shared" si="2"/>
        <v>439291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35</v>
      </c>
      <c r="D31" s="46" t="s">
        <v>36</v>
      </c>
      <c r="E31" s="46" t="s">
        <v>37</v>
      </c>
      <c r="F31" s="46" t="s">
        <v>38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39</v>
      </c>
      <c r="D1" s="48" t="s">
        <v>40</v>
      </c>
      <c r="E1" s="48" t="s">
        <v>41</v>
      </c>
      <c r="F1" s="53" t="s">
        <v>42</v>
      </c>
      <c r="G1" s="3"/>
      <c r="I1" s="3"/>
    </row>
    <row r="2">
      <c r="A2" s="4" t="s">
        <v>4</v>
      </c>
      <c r="B2" s="5">
        <v>46174.0</v>
      </c>
      <c r="C2" s="6">
        <v>13021.0</v>
      </c>
      <c r="D2" s="6">
        <v>7311.0</v>
      </c>
      <c r="E2" s="6">
        <v>9616.0</v>
      </c>
      <c r="F2" s="6">
        <v>18098.0</v>
      </c>
      <c r="G2" s="7">
        <f t="shared" ref="G2:G29" si="1">SUM(C2+D2+E2+F2)</f>
        <v>48046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11020.0</v>
      </c>
      <c r="D3" s="6">
        <v>10756.0</v>
      </c>
      <c r="E3" s="6">
        <v>10118.0</v>
      </c>
      <c r="F3" s="6">
        <v>15120.0</v>
      </c>
      <c r="G3" s="7">
        <f t="shared" si="1"/>
        <v>47014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15523.0</v>
      </c>
      <c r="D4" s="6">
        <v>11012.0</v>
      </c>
      <c r="E4" s="6">
        <v>9580.0</v>
      </c>
      <c r="F4" s="49">
        <v>15886.0</v>
      </c>
      <c r="G4" s="7">
        <f t="shared" si="1"/>
        <v>52001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11401.0</v>
      </c>
      <c r="D5" s="6">
        <v>11680.0</v>
      </c>
      <c r="E5" s="6">
        <v>11860.0</v>
      </c>
      <c r="F5" s="49">
        <v>16432.0</v>
      </c>
      <c r="G5" s="7">
        <f t="shared" si="1"/>
        <v>51373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16206.0</v>
      </c>
      <c r="D6" s="6">
        <v>11181.0</v>
      </c>
      <c r="E6" s="6">
        <v>12586.0</v>
      </c>
      <c r="F6" s="49">
        <v>14574.0</v>
      </c>
      <c r="G6" s="7">
        <f t="shared" si="1"/>
        <v>54547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13068.0</v>
      </c>
      <c r="D7" s="6">
        <v>14332.0</v>
      </c>
      <c r="E7" s="6">
        <v>11784.0</v>
      </c>
      <c r="F7" s="49">
        <v>19534.0</v>
      </c>
      <c r="G7" s="7">
        <f t="shared" si="1"/>
        <v>58718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13137.0</v>
      </c>
      <c r="D8" s="6">
        <v>12290.0</v>
      </c>
      <c r="E8" s="49">
        <v>6542.0</v>
      </c>
      <c r="F8" s="49">
        <v>16423.0</v>
      </c>
      <c r="G8" s="7">
        <f t="shared" si="1"/>
        <v>48392</v>
      </c>
      <c r="H8" s="11" t="s">
        <v>5</v>
      </c>
      <c r="I8" s="12">
        <f>SUM(G2:G8)</f>
        <v>360091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14012.0</v>
      </c>
      <c r="D9" s="16">
        <v>12762.0</v>
      </c>
      <c r="E9" s="50">
        <v>11597.0</v>
      </c>
      <c r="F9" s="50">
        <v>17187.0</v>
      </c>
      <c r="G9" s="17">
        <f t="shared" si="1"/>
        <v>55558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16319.0</v>
      </c>
      <c r="D10" s="19">
        <v>10176.0</v>
      </c>
      <c r="E10" s="51">
        <v>11074.0</v>
      </c>
      <c r="F10" s="51">
        <v>14408.0</v>
      </c>
      <c r="G10" s="17">
        <f t="shared" si="1"/>
        <v>51977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21898.0</v>
      </c>
      <c r="D11" s="51">
        <v>14181.0</v>
      </c>
      <c r="E11" s="51">
        <v>10973.0</v>
      </c>
      <c r="F11" s="51">
        <v>17672.0</v>
      </c>
      <c r="G11" s="17">
        <f t="shared" si="1"/>
        <v>64724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9903.0</v>
      </c>
      <c r="D12" s="51">
        <v>10784.0</v>
      </c>
      <c r="E12" s="51">
        <v>10661.0</v>
      </c>
      <c r="F12" s="51">
        <v>11220.0</v>
      </c>
      <c r="G12" s="17">
        <f t="shared" si="1"/>
        <v>42568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12532.0</v>
      </c>
      <c r="D13" s="51">
        <v>8934.0</v>
      </c>
      <c r="E13" s="51">
        <v>9945.0</v>
      </c>
      <c r="F13" s="51">
        <v>14640.0</v>
      </c>
      <c r="G13" s="17">
        <f t="shared" si="1"/>
        <v>46051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10930.0</v>
      </c>
      <c r="D14" s="51">
        <v>11636.0</v>
      </c>
      <c r="E14" s="51">
        <v>9905.0</v>
      </c>
      <c r="F14" s="19">
        <v>16353.0</v>
      </c>
      <c r="G14" s="17">
        <f t="shared" si="1"/>
        <v>48824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12353.0</v>
      </c>
      <c r="D15" s="51">
        <v>4023.0</v>
      </c>
      <c r="E15" s="51">
        <v>8870.0</v>
      </c>
      <c r="F15" s="51">
        <v>18107.0</v>
      </c>
      <c r="G15" s="17">
        <f t="shared" si="1"/>
        <v>43353</v>
      </c>
      <c r="H15" s="22" t="s">
        <v>5</v>
      </c>
      <c r="I15" s="23">
        <f>SUM(G9:G15)</f>
        <v>353055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18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191323</v>
      </c>
      <c r="D30" s="45">
        <f t="shared" si="2"/>
        <v>151058</v>
      </c>
      <c r="E30" s="45">
        <f t="shared" si="2"/>
        <v>145111</v>
      </c>
      <c r="F30" s="45">
        <f t="shared" si="2"/>
        <v>225654</v>
      </c>
      <c r="G30" s="45">
        <f t="shared" si="2"/>
        <v>713146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43</v>
      </c>
      <c r="D1" s="48" t="s">
        <v>44</v>
      </c>
      <c r="E1" s="54" t="s">
        <v>45</v>
      </c>
      <c r="F1" s="48" t="s">
        <v>46</v>
      </c>
      <c r="G1" s="3"/>
      <c r="I1" s="3"/>
    </row>
    <row r="2">
      <c r="A2" s="4" t="s">
        <v>4</v>
      </c>
      <c r="B2" s="5">
        <v>46174.0</v>
      </c>
      <c r="C2" s="6">
        <v>14276.0</v>
      </c>
      <c r="D2" s="6">
        <v>6406.0</v>
      </c>
      <c r="E2" s="6">
        <v>22763.0</v>
      </c>
      <c r="F2" s="6">
        <v>10992.0</v>
      </c>
      <c r="G2" s="7">
        <f t="shared" ref="G2:G29" si="1">SUM(C2+D2+E2+F2)</f>
        <v>54437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17087.0</v>
      </c>
      <c r="D3" s="6">
        <v>10097.0</v>
      </c>
      <c r="E3" s="6">
        <v>20472.0</v>
      </c>
      <c r="F3" s="6">
        <v>11773.0</v>
      </c>
      <c r="G3" s="7">
        <f t="shared" si="1"/>
        <v>59429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18150.0</v>
      </c>
      <c r="D4" s="6">
        <v>10063.0</v>
      </c>
      <c r="E4" s="6">
        <v>21225.0</v>
      </c>
      <c r="F4" s="6">
        <v>7430.0</v>
      </c>
      <c r="G4" s="7">
        <f t="shared" si="1"/>
        <v>56868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18133.0</v>
      </c>
      <c r="D5" s="6">
        <v>10093.0</v>
      </c>
      <c r="E5" s="6">
        <v>20495.0</v>
      </c>
      <c r="F5" s="6">
        <v>11666.0</v>
      </c>
      <c r="G5" s="7">
        <f t="shared" si="1"/>
        <v>60387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15576.0</v>
      </c>
      <c r="D6" s="6">
        <v>15058.0</v>
      </c>
      <c r="E6" s="6">
        <v>11840.0</v>
      </c>
      <c r="F6" s="6">
        <v>14572.0</v>
      </c>
      <c r="G6" s="7">
        <f t="shared" si="1"/>
        <v>57046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18757.0</v>
      </c>
      <c r="D7" s="6">
        <v>12264.0</v>
      </c>
      <c r="E7" s="6">
        <v>14367.0</v>
      </c>
      <c r="F7" s="9">
        <f>4411+5736</f>
        <v>10147</v>
      </c>
      <c r="G7" s="7">
        <f t="shared" si="1"/>
        <v>55535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13264.0</v>
      </c>
      <c r="D8" s="6">
        <v>14073.0</v>
      </c>
      <c r="E8" s="6">
        <v>10803.0</v>
      </c>
      <c r="F8" s="6">
        <v>9715.0</v>
      </c>
      <c r="G8" s="7">
        <f t="shared" si="1"/>
        <v>47855</v>
      </c>
      <c r="H8" s="11" t="s">
        <v>5</v>
      </c>
      <c r="I8" s="12">
        <f>SUM(G2:G8)</f>
        <v>391557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14454.0</v>
      </c>
      <c r="D9" s="16">
        <v>12080.0</v>
      </c>
      <c r="E9" s="16">
        <v>20296.0</v>
      </c>
      <c r="F9" s="16">
        <v>7640.0</v>
      </c>
      <c r="G9" s="17">
        <f t="shared" si="1"/>
        <v>54470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16546.0</v>
      </c>
      <c r="D10" s="19">
        <v>15013.0</v>
      </c>
      <c r="E10" s="19">
        <v>20194.0</v>
      </c>
      <c r="F10" s="19">
        <v>9229.0</v>
      </c>
      <c r="G10" s="17">
        <f t="shared" si="1"/>
        <v>60982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10161.0</v>
      </c>
      <c r="D11" s="19">
        <v>15343.0</v>
      </c>
      <c r="E11" s="19">
        <v>20801.0</v>
      </c>
      <c r="F11" s="19">
        <v>9583.0</v>
      </c>
      <c r="G11" s="17">
        <f t="shared" si="1"/>
        <v>55888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14135.0</v>
      </c>
      <c r="D12" s="19">
        <v>15056.0</v>
      </c>
      <c r="E12" s="19">
        <v>20308.0</v>
      </c>
      <c r="F12" s="19">
        <v>8147.0</v>
      </c>
      <c r="G12" s="17">
        <f t="shared" si="1"/>
        <v>57646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10186.0</v>
      </c>
      <c r="D13" s="19">
        <v>15097.0</v>
      </c>
      <c r="E13" s="19">
        <v>10751.0</v>
      </c>
      <c r="F13" s="19">
        <v>9078.0</v>
      </c>
      <c r="G13" s="17">
        <f t="shared" si="1"/>
        <v>45112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17321.0</v>
      </c>
      <c r="D14" s="19">
        <v>15115.0</v>
      </c>
      <c r="E14" s="19">
        <v>15121.0</v>
      </c>
      <c r="F14" s="19">
        <v>4826.0</v>
      </c>
      <c r="G14" s="17">
        <f t="shared" si="1"/>
        <v>52383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7497.0</v>
      </c>
      <c r="D15" s="19">
        <v>10465.0</v>
      </c>
      <c r="E15" s="19">
        <v>21451.0</v>
      </c>
      <c r="F15" s="19">
        <v>4333.0</v>
      </c>
      <c r="G15" s="17">
        <f t="shared" si="1"/>
        <v>43746</v>
      </c>
      <c r="H15" s="22" t="s">
        <v>5</v>
      </c>
      <c r="I15" s="23">
        <f>SUM(G9:G15)</f>
        <v>370227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205543</v>
      </c>
      <c r="D30" s="45">
        <f t="shared" si="2"/>
        <v>176223</v>
      </c>
      <c r="E30" s="45">
        <f t="shared" si="2"/>
        <v>250887</v>
      </c>
      <c r="F30" s="45">
        <f t="shared" si="2"/>
        <v>129131</v>
      </c>
      <c r="G30" s="45">
        <f t="shared" si="2"/>
        <v>761784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47</v>
      </c>
      <c r="D1" s="48" t="s">
        <v>48</v>
      </c>
      <c r="E1" s="48" t="s">
        <v>49</v>
      </c>
      <c r="F1" s="48" t="s">
        <v>50</v>
      </c>
      <c r="G1" s="3"/>
      <c r="I1" s="3"/>
    </row>
    <row r="2">
      <c r="A2" s="4" t="s">
        <v>4</v>
      </c>
      <c r="B2" s="5">
        <v>46174.0</v>
      </c>
      <c r="C2" s="6">
        <v>14140.0</v>
      </c>
      <c r="D2" s="6">
        <v>11318.0</v>
      </c>
      <c r="E2" s="6">
        <v>11190.0</v>
      </c>
      <c r="F2" s="6">
        <v>14274.0</v>
      </c>
      <c r="G2" s="7">
        <f t="shared" ref="G2:G29" si="1">SUM(C2+D2+E2+F2)</f>
        <v>50922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11785.0</v>
      </c>
      <c r="D3" s="6">
        <v>11414.0</v>
      </c>
      <c r="E3" s="6">
        <v>10352.0</v>
      </c>
      <c r="F3" s="6">
        <v>13310.0</v>
      </c>
      <c r="G3" s="7">
        <f t="shared" si="1"/>
        <v>46861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13307.0</v>
      </c>
      <c r="D4" s="6">
        <v>13289.0</v>
      </c>
      <c r="E4" s="6">
        <v>10106.0</v>
      </c>
      <c r="F4" s="49">
        <v>13447.0</v>
      </c>
      <c r="G4" s="7">
        <f t="shared" si="1"/>
        <v>50149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14279.0</v>
      </c>
      <c r="D5" s="6">
        <v>10587.0</v>
      </c>
      <c r="E5" s="6">
        <v>8648.0</v>
      </c>
      <c r="F5" s="6">
        <v>12282.0</v>
      </c>
      <c r="G5" s="7">
        <f t="shared" si="1"/>
        <v>45796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10780.0</v>
      </c>
      <c r="D6" s="6">
        <v>15096.0</v>
      </c>
      <c r="E6" s="6">
        <v>8506.0</v>
      </c>
      <c r="F6" s="6">
        <v>12509.0</v>
      </c>
      <c r="G6" s="7">
        <f t="shared" si="1"/>
        <v>46891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10298.0</v>
      </c>
      <c r="D7" s="6">
        <v>10113.0</v>
      </c>
      <c r="E7" s="6">
        <v>5090.0</v>
      </c>
      <c r="F7" s="6">
        <v>16949.0</v>
      </c>
      <c r="G7" s="7">
        <f t="shared" si="1"/>
        <v>42450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5672.0</v>
      </c>
      <c r="D8" s="6">
        <v>13146.0</v>
      </c>
      <c r="E8" s="6">
        <v>7699.0</v>
      </c>
      <c r="F8" s="6">
        <v>12934.0</v>
      </c>
      <c r="G8" s="7">
        <f t="shared" si="1"/>
        <v>39451</v>
      </c>
      <c r="H8" s="11" t="s">
        <v>5</v>
      </c>
      <c r="I8" s="12">
        <f>SUM(G2:G8)</f>
        <v>322520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8279.0</v>
      </c>
      <c r="D9" s="16">
        <v>10410.0</v>
      </c>
      <c r="E9" s="16">
        <v>6048.0</v>
      </c>
      <c r="F9" s="16">
        <v>12382.0</v>
      </c>
      <c r="G9" s="17">
        <f t="shared" si="1"/>
        <v>37119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7973.0</v>
      </c>
      <c r="D10" s="19">
        <v>6419.0</v>
      </c>
      <c r="E10" s="19">
        <v>8488.0</v>
      </c>
      <c r="F10" s="19">
        <v>12211.0</v>
      </c>
      <c r="G10" s="17">
        <f t="shared" si="1"/>
        <v>35091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8692.0</v>
      </c>
      <c r="D11" s="19">
        <v>13241.0</v>
      </c>
      <c r="E11" s="19">
        <v>6476.0</v>
      </c>
      <c r="F11" s="19">
        <v>12325.0</v>
      </c>
      <c r="G11" s="17">
        <f t="shared" si="1"/>
        <v>40734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9792.0</v>
      </c>
      <c r="D12" s="19">
        <v>10524.0</v>
      </c>
      <c r="E12" s="20"/>
      <c r="F12" s="19">
        <v>12220.0</v>
      </c>
      <c r="G12" s="17">
        <f t="shared" si="1"/>
        <v>32536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145480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114997</v>
      </c>
      <c r="D30" s="45">
        <f t="shared" si="2"/>
        <v>125557</v>
      </c>
      <c r="E30" s="45">
        <f t="shared" si="2"/>
        <v>82603</v>
      </c>
      <c r="F30" s="45">
        <f t="shared" si="2"/>
        <v>144843</v>
      </c>
      <c r="G30" s="45">
        <f t="shared" si="2"/>
        <v>468000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51</v>
      </c>
      <c r="D1" s="48" t="s">
        <v>52</v>
      </c>
      <c r="E1" s="48" t="s">
        <v>53</v>
      </c>
      <c r="F1" s="48" t="s">
        <v>54</v>
      </c>
      <c r="G1" s="3"/>
      <c r="I1" s="3"/>
    </row>
    <row r="2">
      <c r="A2" s="4" t="s">
        <v>4</v>
      </c>
      <c r="B2" s="5">
        <v>46174.0</v>
      </c>
      <c r="C2" s="6">
        <v>13026.0</v>
      </c>
      <c r="D2" s="6">
        <v>16032.0</v>
      </c>
      <c r="E2" s="6">
        <v>15885.0</v>
      </c>
      <c r="F2" s="6">
        <v>8376.0</v>
      </c>
      <c r="G2" s="7">
        <f t="shared" ref="G2:G29" si="1">SUM(C2+D2+E2+F2)</f>
        <v>53319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16375.0</v>
      </c>
      <c r="D3" s="6">
        <v>10633.0</v>
      </c>
      <c r="E3" s="6">
        <v>13109.0</v>
      </c>
      <c r="F3" s="19">
        <v>18363.0</v>
      </c>
      <c r="G3" s="7">
        <f t="shared" si="1"/>
        <v>58480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12301.0</v>
      </c>
      <c r="D4" s="6">
        <v>15881.0</v>
      </c>
      <c r="E4" s="6">
        <v>18181.0</v>
      </c>
      <c r="F4" s="6">
        <v>8294.0</v>
      </c>
      <c r="G4" s="7">
        <f t="shared" si="1"/>
        <v>54657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13956.0</v>
      </c>
      <c r="D5" s="6">
        <v>9013.0</v>
      </c>
      <c r="E5" s="6">
        <v>15158.0</v>
      </c>
      <c r="F5" s="6">
        <v>13146.0</v>
      </c>
      <c r="G5" s="7">
        <f t="shared" si="1"/>
        <v>51273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6089.0</v>
      </c>
      <c r="D6" s="6">
        <v>11574.0</v>
      </c>
      <c r="E6" s="6">
        <v>20743.0</v>
      </c>
      <c r="F6" s="6">
        <v>14511.0</v>
      </c>
      <c r="G6" s="7">
        <f t="shared" si="1"/>
        <v>52917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21159.0</v>
      </c>
      <c r="D7" s="6">
        <v>9064.0</v>
      </c>
      <c r="E7" s="6">
        <v>10651.0</v>
      </c>
      <c r="F7" s="6">
        <v>11795.0</v>
      </c>
      <c r="G7" s="7">
        <f t="shared" si="1"/>
        <v>52669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10404.0</v>
      </c>
      <c r="D8" s="6">
        <v>9029.0</v>
      </c>
      <c r="E8" s="6">
        <v>20710.0</v>
      </c>
      <c r="F8" s="6">
        <v>3179.0</v>
      </c>
      <c r="G8" s="7">
        <f t="shared" si="1"/>
        <v>43322</v>
      </c>
      <c r="H8" s="11" t="s">
        <v>5</v>
      </c>
      <c r="I8" s="12">
        <f>SUM(G2:G8)</f>
        <v>366637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12249.0</v>
      </c>
      <c r="D9" s="16">
        <v>8795.0</v>
      </c>
      <c r="E9" s="16">
        <v>11264.0</v>
      </c>
      <c r="F9" s="16">
        <v>6115.0</v>
      </c>
      <c r="G9" s="17">
        <f t="shared" si="1"/>
        <v>38423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12014.0</v>
      </c>
      <c r="D10" s="19">
        <v>9763.0</v>
      </c>
      <c r="E10" s="19">
        <v>12427.0</v>
      </c>
      <c r="F10" s="19">
        <v>12224.0</v>
      </c>
      <c r="G10" s="17">
        <f t="shared" si="1"/>
        <v>46428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12021.0</v>
      </c>
      <c r="D11" s="19">
        <v>8790.0</v>
      </c>
      <c r="E11" s="19">
        <v>11164.0</v>
      </c>
      <c r="F11" s="19">
        <v>6342.0</v>
      </c>
      <c r="G11" s="17">
        <f t="shared" si="1"/>
        <v>38317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10030.0</v>
      </c>
      <c r="D12" s="19">
        <v>13460.0</v>
      </c>
      <c r="E12" s="19">
        <v>10856.0</v>
      </c>
      <c r="F12" s="19">
        <v>13137.0</v>
      </c>
      <c r="G12" s="17">
        <f t="shared" si="1"/>
        <v>47483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11317.0</v>
      </c>
      <c r="D13" s="19">
        <v>14008.0</v>
      </c>
      <c r="E13" s="19">
        <v>21208.0</v>
      </c>
      <c r="F13" s="19">
        <v>12583.0</v>
      </c>
      <c r="G13" s="17">
        <f t="shared" si="1"/>
        <v>59116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10057.0</v>
      </c>
      <c r="D14" s="19">
        <v>8018.0</v>
      </c>
      <c r="E14" s="19">
        <v>6061.0</v>
      </c>
      <c r="F14" s="19">
        <v>6797.0</v>
      </c>
      <c r="G14" s="17">
        <f t="shared" si="1"/>
        <v>30933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9842.0</v>
      </c>
      <c r="D15" s="19">
        <v>7782.0</v>
      </c>
      <c r="E15" s="20"/>
      <c r="F15" s="20"/>
      <c r="G15" s="17">
        <f t="shared" si="1"/>
        <v>17624</v>
      </c>
      <c r="H15" s="22" t="s">
        <v>5</v>
      </c>
      <c r="I15" s="23">
        <f>SUM(G9:G15)</f>
        <v>278324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170840</v>
      </c>
      <c r="D30" s="45">
        <f t="shared" si="2"/>
        <v>151842</v>
      </c>
      <c r="E30" s="45">
        <f t="shared" si="2"/>
        <v>187417</v>
      </c>
      <c r="F30" s="45">
        <f t="shared" si="2"/>
        <v>134862</v>
      </c>
      <c r="G30" s="45">
        <f t="shared" si="2"/>
        <v>644961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55</v>
      </c>
      <c r="D1" s="48" t="s">
        <v>56</v>
      </c>
      <c r="E1" s="48" t="s">
        <v>57</v>
      </c>
      <c r="F1" s="48" t="s">
        <v>58</v>
      </c>
      <c r="G1" s="3"/>
      <c r="I1" s="3"/>
    </row>
    <row r="2">
      <c r="A2" s="4" t="s">
        <v>4</v>
      </c>
      <c r="B2" s="5">
        <v>46174.0</v>
      </c>
      <c r="C2" s="6">
        <v>11138.0</v>
      </c>
      <c r="D2" s="6">
        <v>10511.0</v>
      </c>
      <c r="E2" s="6">
        <v>15101.0</v>
      </c>
      <c r="F2" s="6">
        <v>10459.0</v>
      </c>
      <c r="G2" s="7">
        <f t="shared" ref="G2:G29" si="1">SUM(C2+D2+E2+F2)</f>
        <v>47209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14633.0</v>
      </c>
      <c r="D3" s="6">
        <v>21010.0</v>
      </c>
      <c r="E3" s="6">
        <v>17224.0</v>
      </c>
      <c r="F3" s="6">
        <v>11988.0</v>
      </c>
      <c r="G3" s="7">
        <f t="shared" si="1"/>
        <v>64855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11921.0</v>
      </c>
      <c r="D4" s="6">
        <v>21651.0</v>
      </c>
      <c r="E4" s="6">
        <v>12032.0</v>
      </c>
      <c r="F4" s="49">
        <v>11782.0</v>
      </c>
      <c r="G4" s="7">
        <f t="shared" si="1"/>
        <v>57386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9152.0</v>
      </c>
      <c r="D5" s="6">
        <v>17762.0</v>
      </c>
      <c r="E5" s="6">
        <v>14457.0</v>
      </c>
      <c r="F5" s="49">
        <v>9042.0</v>
      </c>
      <c r="G5" s="7">
        <f t="shared" si="1"/>
        <v>50413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15465.0</v>
      </c>
      <c r="D6" s="6">
        <v>12994.0</v>
      </c>
      <c r="E6" s="6">
        <v>13035.0</v>
      </c>
      <c r="F6" s="49">
        <v>10068.0</v>
      </c>
      <c r="G6" s="7">
        <f t="shared" si="1"/>
        <v>51562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12408.0</v>
      </c>
      <c r="D7" s="6">
        <v>19111.0</v>
      </c>
      <c r="E7" s="6">
        <v>10329.0</v>
      </c>
      <c r="F7" s="49">
        <v>7737.0</v>
      </c>
      <c r="G7" s="7">
        <f t="shared" si="1"/>
        <v>49585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11207.0</v>
      </c>
      <c r="D8" s="6">
        <v>10648.0</v>
      </c>
      <c r="E8" s="6">
        <v>12024.0</v>
      </c>
      <c r="F8" s="6">
        <v>10495.0</v>
      </c>
      <c r="G8" s="7">
        <f t="shared" si="1"/>
        <v>44374</v>
      </c>
      <c r="H8" s="11" t="s">
        <v>5</v>
      </c>
      <c r="I8" s="12">
        <f>SUM(G2:G8)</f>
        <v>365384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15022.0</v>
      </c>
      <c r="D9" s="16">
        <v>12534.0</v>
      </c>
      <c r="E9" s="16">
        <v>15029.0</v>
      </c>
      <c r="F9" s="16">
        <v>8184.0</v>
      </c>
      <c r="G9" s="17">
        <f t="shared" si="1"/>
        <v>50769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11002.0</v>
      </c>
      <c r="D10" s="19">
        <v>15016.0</v>
      </c>
      <c r="E10" s="19">
        <v>14064.0</v>
      </c>
      <c r="F10" s="19">
        <v>10054.0</v>
      </c>
      <c r="G10" s="17">
        <f t="shared" si="1"/>
        <v>50136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13431.0</v>
      </c>
      <c r="D11" s="51">
        <v>14628.0</v>
      </c>
      <c r="E11" s="51">
        <v>12895.0</v>
      </c>
      <c r="F11" s="51">
        <v>10222.0</v>
      </c>
      <c r="G11" s="17">
        <f t="shared" si="1"/>
        <v>51176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13969.0</v>
      </c>
      <c r="D12" s="51">
        <v>13028.0</v>
      </c>
      <c r="E12" s="51">
        <v>12724.0</v>
      </c>
      <c r="F12" s="51">
        <v>10053.0</v>
      </c>
      <c r="G12" s="17">
        <f t="shared" si="1"/>
        <v>49774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201855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139348</v>
      </c>
      <c r="D30" s="45">
        <f t="shared" si="2"/>
        <v>168893</v>
      </c>
      <c r="E30" s="45">
        <f t="shared" si="2"/>
        <v>148914</v>
      </c>
      <c r="F30" s="45">
        <f t="shared" si="2"/>
        <v>110084</v>
      </c>
      <c r="G30" s="45">
        <f t="shared" si="2"/>
        <v>567239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59</v>
      </c>
      <c r="D1" s="48" t="s">
        <v>60</v>
      </c>
      <c r="E1" s="48" t="s">
        <v>61</v>
      </c>
      <c r="F1" s="48" t="s">
        <v>62</v>
      </c>
      <c r="G1" s="3"/>
      <c r="I1" s="3"/>
    </row>
    <row r="2">
      <c r="A2" s="4" t="s">
        <v>4</v>
      </c>
      <c r="B2" s="5">
        <v>46174.0</v>
      </c>
      <c r="C2" s="6">
        <v>20143.0</v>
      </c>
      <c r="D2" s="6">
        <v>10815.0</v>
      </c>
      <c r="E2" s="6">
        <v>10316.0</v>
      </c>
      <c r="F2" s="6">
        <v>14680.0</v>
      </c>
      <c r="G2" s="7">
        <f t="shared" ref="G2:G29" si="1">SUM(C2+D2+E2+F2)</f>
        <v>55954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17403.0</v>
      </c>
      <c r="D3" s="6">
        <v>14387.0</v>
      </c>
      <c r="E3" s="6">
        <v>10011.0</v>
      </c>
      <c r="F3" s="6">
        <v>12861.0</v>
      </c>
      <c r="G3" s="7">
        <f t="shared" si="1"/>
        <v>54662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24255.0</v>
      </c>
      <c r="D4" s="6">
        <v>10393.0</v>
      </c>
      <c r="E4" s="6">
        <v>10304.0</v>
      </c>
      <c r="F4" s="49">
        <v>14286.0</v>
      </c>
      <c r="G4" s="7">
        <f t="shared" si="1"/>
        <v>59238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15682.0</v>
      </c>
      <c r="D5" s="6">
        <v>14842.0</v>
      </c>
      <c r="E5" s="6">
        <v>11224.0</v>
      </c>
      <c r="F5" s="49">
        <v>8883.0</v>
      </c>
      <c r="G5" s="7">
        <f t="shared" si="1"/>
        <v>50631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13353.0</v>
      </c>
      <c r="D6" s="6">
        <v>19435.0</v>
      </c>
      <c r="E6" s="6">
        <v>5872.0</v>
      </c>
      <c r="F6" s="49">
        <v>12191.0</v>
      </c>
      <c r="G6" s="7">
        <f t="shared" si="1"/>
        <v>50851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24893.0</v>
      </c>
      <c r="D7" s="6">
        <v>19509.0</v>
      </c>
      <c r="E7" s="6">
        <v>10025.0</v>
      </c>
      <c r="F7" s="49">
        <v>11133.0</v>
      </c>
      <c r="G7" s="7">
        <f t="shared" si="1"/>
        <v>65560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10510.0</v>
      </c>
      <c r="D8" s="6">
        <v>10307.0</v>
      </c>
      <c r="E8" s="49">
        <v>7750.0</v>
      </c>
      <c r="F8" s="49">
        <v>11502.0</v>
      </c>
      <c r="G8" s="7">
        <f t="shared" si="1"/>
        <v>40069</v>
      </c>
      <c r="H8" s="11" t="s">
        <v>5</v>
      </c>
      <c r="I8" s="12">
        <f>SUM(G2:G8)</f>
        <v>376965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12362.0</v>
      </c>
      <c r="D9" s="16">
        <v>14256.0</v>
      </c>
      <c r="E9" s="50">
        <v>10302.0</v>
      </c>
      <c r="F9" s="50">
        <v>10618.0</v>
      </c>
      <c r="G9" s="17">
        <f t="shared" si="1"/>
        <v>47538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13596.0</v>
      </c>
      <c r="D10" s="19">
        <v>20027.0</v>
      </c>
      <c r="E10" s="51">
        <v>10021.0</v>
      </c>
      <c r="F10" s="51">
        <v>11162.0</v>
      </c>
      <c r="G10" s="17">
        <f t="shared" si="1"/>
        <v>54806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20"/>
      <c r="D11" s="20"/>
      <c r="E11" s="20"/>
      <c r="F11" s="20"/>
      <c r="G11" s="17">
        <f t="shared" si="1"/>
        <v>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20"/>
      <c r="D12" s="20"/>
      <c r="E12" s="20"/>
      <c r="F12" s="20"/>
      <c r="G12" s="17">
        <f t="shared" si="1"/>
        <v>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102344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152197</v>
      </c>
      <c r="D30" s="45">
        <f t="shared" si="2"/>
        <v>133971</v>
      </c>
      <c r="E30" s="45">
        <f t="shared" si="2"/>
        <v>85825</v>
      </c>
      <c r="F30" s="45">
        <f t="shared" si="2"/>
        <v>107316</v>
      </c>
      <c r="G30" s="45">
        <f t="shared" si="2"/>
        <v>479309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63</v>
      </c>
      <c r="D1" s="48" t="s">
        <v>64</v>
      </c>
      <c r="E1" s="48" t="s">
        <v>65</v>
      </c>
      <c r="F1" s="48" t="s">
        <v>66</v>
      </c>
      <c r="G1" s="3"/>
      <c r="I1" s="3"/>
    </row>
    <row r="2">
      <c r="A2" s="4" t="s">
        <v>4</v>
      </c>
      <c r="B2" s="5">
        <v>46174.0</v>
      </c>
      <c r="C2" s="6">
        <v>8453.0</v>
      </c>
      <c r="D2" s="6">
        <v>26420.0</v>
      </c>
      <c r="E2" s="6">
        <v>11154.0</v>
      </c>
      <c r="F2" s="6">
        <v>11113.0</v>
      </c>
      <c r="G2" s="7">
        <f t="shared" ref="G2:G29" si="1">SUM(C2+D2+E2+F2)</f>
        <v>57140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7668.0</v>
      </c>
      <c r="D3" s="6">
        <v>22154.0</v>
      </c>
      <c r="E3" s="6">
        <v>11284.0</v>
      </c>
      <c r="F3" s="6">
        <v>14271.0</v>
      </c>
      <c r="G3" s="7">
        <f t="shared" si="1"/>
        <v>55377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15257.0</v>
      </c>
      <c r="D4" s="6">
        <v>16144.0</v>
      </c>
      <c r="E4" s="6">
        <v>11630.0</v>
      </c>
      <c r="F4" s="49">
        <v>16128.0</v>
      </c>
      <c r="G4" s="7">
        <f t="shared" si="1"/>
        <v>59159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11361.0</v>
      </c>
      <c r="D5" s="6">
        <v>16644.0</v>
      </c>
      <c r="E5" s="6">
        <v>16203.0</v>
      </c>
      <c r="F5" s="49">
        <v>13255.0</v>
      </c>
      <c r="G5" s="7">
        <f t="shared" si="1"/>
        <v>57463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10272.0</v>
      </c>
      <c r="D6" s="6">
        <v>19393.0</v>
      </c>
      <c r="E6" s="6">
        <v>10871.0</v>
      </c>
      <c r="F6" s="49">
        <v>10978.0</v>
      </c>
      <c r="G6" s="7">
        <f t="shared" si="1"/>
        <v>51514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5453.0</v>
      </c>
      <c r="D7" s="6">
        <v>18053.0</v>
      </c>
      <c r="E7" s="6">
        <v>10630.0</v>
      </c>
      <c r="F7" s="49">
        <v>14726.0</v>
      </c>
      <c r="G7" s="7">
        <f t="shared" si="1"/>
        <v>48862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13913.0</v>
      </c>
      <c r="D8" s="6">
        <v>16375.0</v>
      </c>
      <c r="E8" s="49">
        <v>12350.0</v>
      </c>
      <c r="F8" s="49">
        <v>13204.0</v>
      </c>
      <c r="G8" s="7">
        <f t="shared" si="1"/>
        <v>55842</v>
      </c>
      <c r="H8" s="11" t="s">
        <v>5</v>
      </c>
      <c r="I8" s="12">
        <f>SUM(G2:G8)</f>
        <v>385357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9411.0</v>
      </c>
      <c r="D9" s="16">
        <v>22169.0</v>
      </c>
      <c r="E9" s="50">
        <v>17990.0</v>
      </c>
      <c r="F9" s="50">
        <v>12111.0</v>
      </c>
      <c r="G9" s="17">
        <f t="shared" si="1"/>
        <v>61681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6901.0</v>
      </c>
      <c r="D10" s="19">
        <v>16135.0</v>
      </c>
      <c r="E10" s="51">
        <v>11515.0</v>
      </c>
      <c r="F10" s="51">
        <v>12691.0</v>
      </c>
      <c r="G10" s="17">
        <f t="shared" si="1"/>
        <v>47242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7799.0</v>
      </c>
      <c r="D11" s="51">
        <v>18017.0</v>
      </c>
      <c r="E11" s="51">
        <v>12400.0</v>
      </c>
      <c r="F11" s="51">
        <v>14482.0</v>
      </c>
      <c r="G11" s="17">
        <f t="shared" si="1"/>
        <v>52698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7492.0</v>
      </c>
      <c r="D12" s="51">
        <v>19667.0</v>
      </c>
      <c r="E12" s="51">
        <v>14072.0</v>
      </c>
      <c r="F12" s="51">
        <v>14095.0</v>
      </c>
      <c r="G12" s="17">
        <f t="shared" si="1"/>
        <v>55326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8392.0</v>
      </c>
      <c r="D13" s="51">
        <v>17159.0</v>
      </c>
      <c r="E13" s="51">
        <v>5153.0</v>
      </c>
      <c r="F13" s="51">
        <v>17001.0</v>
      </c>
      <c r="G13" s="17">
        <f t="shared" si="1"/>
        <v>47705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264652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112372</v>
      </c>
      <c r="D30" s="45">
        <f t="shared" si="2"/>
        <v>228330</v>
      </c>
      <c r="E30" s="45">
        <f t="shared" si="2"/>
        <v>145252</v>
      </c>
      <c r="F30" s="45">
        <f t="shared" si="2"/>
        <v>164055</v>
      </c>
      <c r="G30" s="45">
        <f t="shared" si="2"/>
        <v>650009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A1" s="55" t="s">
        <v>67</v>
      </c>
      <c r="C1" s="47" t="s">
        <v>68</v>
      </c>
      <c r="D1" s="48" t="s">
        <v>69</v>
      </c>
      <c r="E1" s="48" t="s">
        <v>70</v>
      </c>
      <c r="F1" s="48" t="s">
        <v>71</v>
      </c>
      <c r="G1" s="3"/>
      <c r="I1" s="3"/>
    </row>
    <row r="2">
      <c r="A2" s="4" t="s">
        <v>4</v>
      </c>
      <c r="B2" s="5">
        <v>46174.0</v>
      </c>
      <c r="C2" s="6">
        <v>16247.0</v>
      </c>
      <c r="D2" s="6">
        <v>12220.0</v>
      </c>
      <c r="E2" s="6">
        <v>15633.0</v>
      </c>
      <c r="F2" s="6">
        <v>13408.0</v>
      </c>
      <c r="G2" s="7">
        <f t="shared" ref="G2:G29" si="1">SUM(C2+D2+E2+F2)</f>
        <v>57508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14107.0</v>
      </c>
      <c r="D3" s="6">
        <v>14009.0</v>
      </c>
      <c r="E3" s="6">
        <v>13521.0</v>
      </c>
      <c r="F3" s="6">
        <v>18577.0</v>
      </c>
      <c r="G3" s="7">
        <f t="shared" si="1"/>
        <v>60214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11853.0</v>
      </c>
      <c r="D4" s="6">
        <v>10068.0</v>
      </c>
      <c r="E4" s="6">
        <v>3967.0</v>
      </c>
      <c r="F4" s="49">
        <v>12976.0</v>
      </c>
      <c r="G4" s="7">
        <f t="shared" si="1"/>
        <v>38864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12809.0</v>
      </c>
      <c r="D5" s="6">
        <v>12504.0</v>
      </c>
      <c r="E5" s="6">
        <v>9198.0</v>
      </c>
      <c r="F5" s="49">
        <v>13812.0</v>
      </c>
      <c r="G5" s="7">
        <f t="shared" si="1"/>
        <v>48323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8524.0</v>
      </c>
      <c r="D6" s="6">
        <v>10131.0</v>
      </c>
      <c r="E6" s="6">
        <v>2752.0</v>
      </c>
      <c r="F6" s="6">
        <v>11325.0</v>
      </c>
      <c r="G6" s="7">
        <f t="shared" si="1"/>
        <v>32732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22916.0</v>
      </c>
      <c r="D7" s="6">
        <v>12955.0</v>
      </c>
      <c r="E7" s="6">
        <v>9772.0</v>
      </c>
      <c r="F7" s="49">
        <v>16753.0</v>
      </c>
      <c r="G7" s="7">
        <f t="shared" si="1"/>
        <v>62396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16312.0</v>
      </c>
      <c r="D8" s="6">
        <v>9180.0</v>
      </c>
      <c r="E8" s="6">
        <v>6650.0</v>
      </c>
      <c r="F8" s="6">
        <v>11317.0</v>
      </c>
      <c r="G8" s="7">
        <f t="shared" si="1"/>
        <v>43459</v>
      </c>
      <c r="H8" s="11" t="s">
        <v>5</v>
      </c>
      <c r="I8" s="12">
        <f>SUM(G2:G8)</f>
        <v>343496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11373.0</v>
      </c>
      <c r="D9" s="16">
        <v>13426.0</v>
      </c>
      <c r="E9" s="50">
        <v>10683.0</v>
      </c>
      <c r="F9" s="50">
        <v>13945.0</v>
      </c>
      <c r="G9" s="17">
        <f t="shared" si="1"/>
        <v>49427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12072.0</v>
      </c>
      <c r="D10" s="19">
        <v>11345.0</v>
      </c>
      <c r="E10" s="19">
        <v>17128.0</v>
      </c>
      <c r="F10" s="19">
        <v>9319.0</v>
      </c>
      <c r="G10" s="17">
        <f t="shared" si="1"/>
        <v>49864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12868.0</v>
      </c>
      <c r="D11" s="51">
        <v>9405.0</v>
      </c>
      <c r="E11" s="51">
        <v>14926.0</v>
      </c>
      <c r="F11" s="51">
        <v>13344.0</v>
      </c>
      <c r="G11" s="17">
        <f t="shared" si="1"/>
        <v>50543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5810.0</v>
      </c>
      <c r="D12" s="51">
        <v>16955.0</v>
      </c>
      <c r="E12" s="51">
        <v>10568.0</v>
      </c>
      <c r="F12" s="51">
        <v>11019.0</v>
      </c>
      <c r="G12" s="17">
        <f t="shared" si="1"/>
        <v>44352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12594.0</v>
      </c>
      <c r="D13" s="51">
        <v>5880.0</v>
      </c>
      <c r="E13" s="19">
        <v>10054.0</v>
      </c>
      <c r="F13" s="51">
        <v>12276.0</v>
      </c>
      <c r="G13" s="17">
        <f t="shared" si="1"/>
        <v>40804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12105.0</v>
      </c>
      <c r="D14" s="19">
        <v>7075.0</v>
      </c>
      <c r="E14" s="19">
        <v>10633.0</v>
      </c>
      <c r="F14" s="19">
        <v>14157.0</v>
      </c>
      <c r="G14" s="17">
        <f t="shared" si="1"/>
        <v>43970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19">
        <v>10229.0</v>
      </c>
      <c r="D15" s="19">
        <v>11311.0</v>
      </c>
      <c r="E15" s="19">
        <v>10633.0</v>
      </c>
      <c r="F15" s="19">
        <v>17053.0</v>
      </c>
      <c r="G15" s="17">
        <f t="shared" si="1"/>
        <v>49226</v>
      </c>
      <c r="H15" s="22" t="s">
        <v>5</v>
      </c>
      <c r="I15" s="23">
        <f>SUM(G9:G15)</f>
        <v>328186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179819</v>
      </c>
      <c r="D30" s="45">
        <f t="shared" si="2"/>
        <v>156464</v>
      </c>
      <c r="E30" s="45">
        <f t="shared" si="2"/>
        <v>146118</v>
      </c>
      <c r="F30" s="45">
        <f t="shared" si="2"/>
        <v>189281</v>
      </c>
      <c r="G30" s="45">
        <f t="shared" si="2"/>
        <v>671682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72</v>
      </c>
      <c r="D1" s="48" t="s">
        <v>73</v>
      </c>
      <c r="E1" s="48" t="s">
        <v>74</v>
      </c>
      <c r="F1" s="48" t="s">
        <v>75</v>
      </c>
      <c r="G1" s="3"/>
      <c r="I1" s="3"/>
    </row>
    <row r="2">
      <c r="A2" s="4" t="s">
        <v>4</v>
      </c>
      <c r="B2" s="5">
        <v>46174.0</v>
      </c>
      <c r="C2" s="6">
        <v>18429.0</v>
      </c>
      <c r="D2" s="6">
        <v>11862.0</v>
      </c>
      <c r="E2" s="6">
        <v>10779.0</v>
      </c>
      <c r="F2" s="6">
        <v>7724.0</v>
      </c>
      <c r="G2" s="7">
        <f t="shared" ref="G2:G29" si="1">SUM(C2+D2+E2+F2)</f>
        <v>48794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22351.0</v>
      </c>
      <c r="D3" s="6">
        <v>14797.0</v>
      </c>
      <c r="E3" s="6">
        <v>13296.0</v>
      </c>
      <c r="F3" s="6">
        <v>15712.0</v>
      </c>
      <c r="G3" s="7">
        <f t="shared" si="1"/>
        <v>66156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22908.0</v>
      </c>
      <c r="D4" s="6">
        <v>13892.0</v>
      </c>
      <c r="E4" s="6">
        <v>16626.0</v>
      </c>
      <c r="F4" s="49">
        <v>16723.0</v>
      </c>
      <c r="G4" s="7">
        <f t="shared" si="1"/>
        <v>70149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21380.0</v>
      </c>
      <c r="D5" s="6">
        <v>11920.0</v>
      </c>
      <c r="E5" s="6">
        <v>16330.0</v>
      </c>
      <c r="F5" s="49">
        <v>19155.0</v>
      </c>
      <c r="G5" s="7">
        <f t="shared" si="1"/>
        <v>68785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24878.0</v>
      </c>
      <c r="D6" s="6">
        <v>14983.0</v>
      </c>
      <c r="E6" s="6">
        <v>22953.0</v>
      </c>
      <c r="F6" s="49">
        <v>15205.0</v>
      </c>
      <c r="G6" s="7">
        <f t="shared" si="1"/>
        <v>78019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23381.0</v>
      </c>
      <c r="D7" s="6">
        <v>14544.0</v>
      </c>
      <c r="E7" s="6">
        <v>22214.0</v>
      </c>
      <c r="F7" s="49">
        <v>20951.0</v>
      </c>
      <c r="G7" s="7">
        <f t="shared" si="1"/>
        <v>81090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21241.0</v>
      </c>
      <c r="D8" s="6">
        <v>16914.0</v>
      </c>
      <c r="E8" s="6">
        <v>10026.0</v>
      </c>
      <c r="F8" s="49">
        <v>13252.0</v>
      </c>
      <c r="G8" s="7">
        <f t="shared" si="1"/>
        <v>61433</v>
      </c>
      <c r="H8" s="11" t="s">
        <v>5</v>
      </c>
      <c r="I8" s="12">
        <f>SUM(G2:G8)</f>
        <v>474426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29417.0</v>
      </c>
      <c r="D9" s="16">
        <v>11575.0</v>
      </c>
      <c r="E9" s="50">
        <v>16907.0</v>
      </c>
      <c r="F9" s="50">
        <v>18241.0</v>
      </c>
      <c r="G9" s="17">
        <f t="shared" si="1"/>
        <v>76140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25453.0</v>
      </c>
      <c r="D10" s="19">
        <v>15547.0</v>
      </c>
      <c r="E10" s="51">
        <v>15081.0</v>
      </c>
      <c r="F10" s="51">
        <v>17344.0</v>
      </c>
      <c r="G10" s="17">
        <f t="shared" si="1"/>
        <v>73425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27329.0</v>
      </c>
      <c r="D11" s="19">
        <v>16107.0</v>
      </c>
      <c r="E11" s="19">
        <v>15185.0</v>
      </c>
      <c r="F11" s="19">
        <v>15075.0</v>
      </c>
      <c r="G11" s="17">
        <f t="shared" si="1"/>
        <v>73696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27059.0</v>
      </c>
      <c r="D12" s="51">
        <v>14595.0</v>
      </c>
      <c r="E12" s="51">
        <v>17511.0</v>
      </c>
      <c r="F12" s="51">
        <v>17021.0</v>
      </c>
      <c r="G12" s="17">
        <f t="shared" si="1"/>
        <v>76186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22066.0</v>
      </c>
      <c r="D13" s="51">
        <v>16814.0</v>
      </c>
      <c r="E13" s="51">
        <v>15392.0</v>
      </c>
      <c r="F13" s="51">
        <v>15693.0</v>
      </c>
      <c r="G13" s="17">
        <f t="shared" si="1"/>
        <v>69965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18661.0</v>
      </c>
      <c r="D14" s="51">
        <v>14884.0</v>
      </c>
      <c r="E14" s="51">
        <v>15009.0</v>
      </c>
      <c r="F14" s="19">
        <v>15558.0</v>
      </c>
      <c r="G14" s="17">
        <f t="shared" si="1"/>
        <v>64112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19653.0</v>
      </c>
      <c r="D15" s="51">
        <v>14110.0</v>
      </c>
      <c r="E15" s="51">
        <v>11171.0</v>
      </c>
      <c r="F15" s="51">
        <v>13299.0</v>
      </c>
      <c r="G15" s="17">
        <f t="shared" si="1"/>
        <v>58233</v>
      </c>
      <c r="H15" s="22" t="s">
        <v>5</v>
      </c>
      <c r="I15" s="23">
        <f>SUM(G9:G15)</f>
        <v>491757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5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324206</v>
      </c>
      <c r="D30" s="45">
        <f t="shared" si="2"/>
        <v>202544</v>
      </c>
      <c r="E30" s="45">
        <f t="shared" si="2"/>
        <v>218480</v>
      </c>
      <c r="F30" s="45">
        <f t="shared" si="2"/>
        <v>220953</v>
      </c>
      <c r="G30" s="45">
        <f t="shared" si="2"/>
        <v>966183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76</v>
      </c>
      <c r="D1" s="48" t="s">
        <v>77</v>
      </c>
      <c r="E1" s="48" t="s">
        <v>78</v>
      </c>
      <c r="F1" s="48" t="s">
        <v>79</v>
      </c>
      <c r="G1" s="3"/>
      <c r="I1" s="3"/>
    </row>
    <row r="2">
      <c r="A2" s="4" t="s">
        <v>4</v>
      </c>
      <c r="B2" s="5">
        <v>46174.0</v>
      </c>
      <c r="C2" s="6">
        <v>15205.0</v>
      </c>
      <c r="D2" s="6">
        <v>11171.0</v>
      </c>
      <c r="E2" s="6">
        <v>12828.0</v>
      </c>
      <c r="F2" s="6">
        <v>9879.0</v>
      </c>
      <c r="G2" s="7">
        <f t="shared" ref="G2:G29" si="1">SUM(C2+D2+E2+F2)</f>
        <v>49083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15782.0</v>
      </c>
      <c r="D3" s="6">
        <v>21720.0</v>
      </c>
      <c r="E3" s="6">
        <v>14157.0</v>
      </c>
      <c r="F3" s="6">
        <v>15147.0</v>
      </c>
      <c r="G3" s="7">
        <f t="shared" si="1"/>
        <v>66806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16386.0</v>
      </c>
      <c r="D4" s="6">
        <v>12861.0</v>
      </c>
      <c r="E4" s="6">
        <v>12364.0</v>
      </c>
      <c r="F4" s="49">
        <v>14477.0</v>
      </c>
      <c r="G4" s="7">
        <f t="shared" si="1"/>
        <v>56088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17625.0</v>
      </c>
      <c r="D5" s="6">
        <v>10933.0</v>
      </c>
      <c r="E5" s="6">
        <v>13221.0</v>
      </c>
      <c r="F5" s="49">
        <v>15406.0</v>
      </c>
      <c r="G5" s="7">
        <f t="shared" si="1"/>
        <v>57185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10058.0</v>
      </c>
      <c r="D6" s="6">
        <v>12519.0</v>
      </c>
      <c r="E6" s="6">
        <v>10955.0</v>
      </c>
      <c r="F6" s="49">
        <v>15898.0</v>
      </c>
      <c r="G6" s="7">
        <f t="shared" si="1"/>
        <v>49430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11781.0</v>
      </c>
      <c r="D7" s="6">
        <v>11252.0</v>
      </c>
      <c r="E7" s="6">
        <v>15916.0</v>
      </c>
      <c r="F7" s="49">
        <v>15723.0</v>
      </c>
      <c r="G7" s="7">
        <f t="shared" si="1"/>
        <v>54672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10575.0</v>
      </c>
      <c r="D8" s="6">
        <v>10301.0</v>
      </c>
      <c r="E8" s="49">
        <v>13455.0</v>
      </c>
      <c r="F8" s="49">
        <v>10900.0</v>
      </c>
      <c r="G8" s="7">
        <f t="shared" si="1"/>
        <v>45231</v>
      </c>
      <c r="H8" s="11" t="s">
        <v>5</v>
      </c>
      <c r="I8" s="12">
        <f>SUM(G2:G8)</f>
        <v>378495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18885.0</v>
      </c>
      <c r="D9" s="16">
        <v>15279.0</v>
      </c>
      <c r="E9" s="50">
        <v>13203.0</v>
      </c>
      <c r="F9" s="50">
        <v>15500.0</v>
      </c>
      <c r="G9" s="17">
        <f t="shared" si="1"/>
        <v>62867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12046.0</v>
      </c>
      <c r="D10" s="19">
        <v>16394.0</v>
      </c>
      <c r="E10" s="51">
        <v>12885.0</v>
      </c>
      <c r="F10" s="51">
        <v>11185.0</v>
      </c>
      <c r="G10" s="17">
        <f t="shared" si="1"/>
        <v>52510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17400.0</v>
      </c>
      <c r="D11" s="51">
        <v>15451.0</v>
      </c>
      <c r="E11" s="51">
        <v>15552.0</v>
      </c>
      <c r="F11" s="51">
        <v>18445.0</v>
      </c>
      <c r="G11" s="17">
        <f t="shared" si="1"/>
        <v>66848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16700.0</v>
      </c>
      <c r="D12" s="51">
        <v>16600.0</v>
      </c>
      <c r="E12" s="51">
        <v>12374.0</v>
      </c>
      <c r="F12" s="51">
        <v>17531.0</v>
      </c>
      <c r="G12" s="17">
        <f t="shared" si="1"/>
        <v>63205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14975.0</v>
      </c>
      <c r="D13" s="51">
        <v>15655.0</v>
      </c>
      <c r="E13" s="51">
        <v>16816.0</v>
      </c>
      <c r="F13" s="51">
        <v>13363.0</v>
      </c>
      <c r="G13" s="17">
        <f t="shared" si="1"/>
        <v>60809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14586.0</v>
      </c>
      <c r="D14" s="51">
        <v>17382.0</v>
      </c>
      <c r="E14" s="51">
        <v>12390.0</v>
      </c>
      <c r="F14" s="19">
        <v>17100.0</v>
      </c>
      <c r="G14" s="17">
        <f t="shared" si="1"/>
        <v>61458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367697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192004</v>
      </c>
      <c r="D30" s="45">
        <f t="shared" si="2"/>
        <v>187518</v>
      </c>
      <c r="E30" s="45">
        <f t="shared" si="2"/>
        <v>176116</v>
      </c>
      <c r="F30" s="45">
        <f t="shared" si="2"/>
        <v>190554</v>
      </c>
      <c r="G30" s="45">
        <f t="shared" si="2"/>
        <v>746192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80</v>
      </c>
      <c r="D1" s="48" t="s">
        <v>81</v>
      </c>
      <c r="E1" s="48" t="s">
        <v>82</v>
      </c>
      <c r="F1" s="48" t="s">
        <v>83</v>
      </c>
      <c r="G1" s="3"/>
      <c r="I1" s="3"/>
    </row>
    <row r="2">
      <c r="A2" s="4" t="s">
        <v>4</v>
      </c>
      <c r="B2" s="5">
        <v>46174.0</v>
      </c>
      <c r="C2" s="57">
        <v>11257.0</v>
      </c>
      <c r="D2" s="57">
        <v>3159.0</v>
      </c>
      <c r="E2" s="57">
        <v>26305.0</v>
      </c>
      <c r="F2" s="57">
        <v>12040.0</v>
      </c>
      <c r="G2" s="7">
        <f t="shared" ref="G2:G29" si="1">SUM(C2+D2+E2+F2)</f>
        <v>52761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15214.0</v>
      </c>
      <c r="D3" s="6">
        <v>8075.0</v>
      </c>
      <c r="E3" s="6">
        <v>28300.0</v>
      </c>
      <c r="F3" s="6">
        <v>15159.0</v>
      </c>
      <c r="G3" s="7">
        <f t="shared" si="1"/>
        <v>66748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15498.0</v>
      </c>
      <c r="D4" s="6">
        <v>285.0</v>
      </c>
      <c r="E4" s="6">
        <v>16794.0</v>
      </c>
      <c r="F4" s="6">
        <v>16059.0</v>
      </c>
      <c r="G4" s="7">
        <f t="shared" si="1"/>
        <v>48636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13592.0</v>
      </c>
      <c r="D5" s="6">
        <v>5356.0</v>
      </c>
      <c r="E5" s="6">
        <v>20529.0</v>
      </c>
      <c r="F5" s="6">
        <v>16375.0</v>
      </c>
      <c r="G5" s="7">
        <f t="shared" si="1"/>
        <v>55852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12420.0</v>
      </c>
      <c r="D6" s="6">
        <v>8028.0</v>
      </c>
      <c r="E6" s="6">
        <v>16468.0</v>
      </c>
      <c r="F6" s="6">
        <v>15510.0</v>
      </c>
      <c r="G6" s="7">
        <f t="shared" si="1"/>
        <v>52426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15806.0</v>
      </c>
      <c r="D7" s="6">
        <v>8804.0</v>
      </c>
      <c r="E7" s="6">
        <v>13445.0</v>
      </c>
      <c r="F7" s="6">
        <v>11816.0</v>
      </c>
      <c r="G7" s="7">
        <f t="shared" si="1"/>
        <v>49871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10223.0</v>
      </c>
      <c r="D8" s="6">
        <v>6411.0</v>
      </c>
      <c r="E8" s="6">
        <v>10007.0</v>
      </c>
      <c r="F8" s="6">
        <v>10703.0</v>
      </c>
      <c r="G8" s="7">
        <f t="shared" si="1"/>
        <v>37344</v>
      </c>
      <c r="H8" s="11" t="s">
        <v>5</v>
      </c>
      <c r="I8" s="12">
        <f>SUM(G2:G8)</f>
        <v>363638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13138.0</v>
      </c>
      <c r="D9" s="16">
        <v>5731.0</v>
      </c>
      <c r="E9" s="16">
        <v>24087.0</v>
      </c>
      <c r="F9" s="16">
        <v>15162.0</v>
      </c>
      <c r="G9" s="17">
        <f t="shared" si="1"/>
        <v>58118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17030.0</v>
      </c>
      <c r="D10" s="19">
        <v>10550.0</v>
      </c>
      <c r="E10" s="19">
        <v>19062.0</v>
      </c>
      <c r="F10" s="19">
        <v>17594.0</v>
      </c>
      <c r="G10" s="17">
        <f t="shared" si="1"/>
        <v>64236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13212.0</v>
      </c>
      <c r="D11" s="19">
        <v>10022.0</v>
      </c>
      <c r="E11" s="19">
        <v>17755.0</v>
      </c>
      <c r="F11" s="19">
        <v>15237.0</v>
      </c>
      <c r="G11" s="17">
        <f t="shared" si="1"/>
        <v>56226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12724.0</v>
      </c>
      <c r="D12" s="19">
        <v>10018.0</v>
      </c>
      <c r="E12" s="19">
        <v>18340.0</v>
      </c>
      <c r="F12" s="19">
        <v>18262.0</v>
      </c>
      <c r="G12" s="17">
        <f t="shared" si="1"/>
        <v>59344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15226.0</v>
      </c>
      <c r="D13" s="19">
        <v>3933.0</v>
      </c>
      <c r="E13" s="19">
        <v>12630.0</v>
      </c>
      <c r="F13" s="19">
        <v>6258.0</v>
      </c>
      <c r="G13" s="17">
        <f t="shared" si="1"/>
        <v>38047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19">
        <v>14165.0</v>
      </c>
      <c r="D14" s="19">
        <v>7042.0</v>
      </c>
      <c r="E14" s="19">
        <v>13480.0</v>
      </c>
      <c r="F14" s="19">
        <v>13519.0</v>
      </c>
      <c r="G14" s="17">
        <f t="shared" si="1"/>
        <v>48206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324177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179505</v>
      </c>
      <c r="D30" s="45">
        <f t="shared" si="2"/>
        <v>87414</v>
      </c>
      <c r="E30" s="45">
        <f t="shared" si="2"/>
        <v>237202</v>
      </c>
      <c r="F30" s="45">
        <f t="shared" si="2"/>
        <v>183694</v>
      </c>
      <c r="G30" s="45">
        <f t="shared" si="2"/>
        <v>687815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84</v>
      </c>
      <c r="D1" s="48" t="s">
        <v>85</v>
      </c>
      <c r="E1" s="48" t="s">
        <v>86</v>
      </c>
      <c r="F1" s="48" t="s">
        <v>87</v>
      </c>
      <c r="G1" s="3"/>
      <c r="I1" s="3"/>
    </row>
    <row r="2">
      <c r="A2" s="4" t="s">
        <v>4</v>
      </c>
      <c r="B2" s="5">
        <v>46174.0</v>
      </c>
      <c r="C2" s="6">
        <v>16486.0</v>
      </c>
      <c r="D2" s="6">
        <v>7868.0</v>
      </c>
      <c r="E2" s="6">
        <v>13359.0</v>
      </c>
      <c r="F2" s="6">
        <v>4941.0</v>
      </c>
      <c r="G2" s="7">
        <f t="shared" ref="G2:G29" si="1">SUM(C2+D2+E2+F2)</f>
        <v>42654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24382.0</v>
      </c>
      <c r="D3" s="6">
        <v>14601.0</v>
      </c>
      <c r="E3" s="6">
        <v>12935.0</v>
      </c>
      <c r="F3" s="6">
        <v>6063.0</v>
      </c>
      <c r="G3" s="7">
        <f t="shared" si="1"/>
        <v>57981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22816.0</v>
      </c>
      <c r="D4" s="6">
        <v>7426.0</v>
      </c>
      <c r="E4" s="6">
        <v>12172.0</v>
      </c>
      <c r="F4" s="6">
        <v>4791.0</v>
      </c>
      <c r="G4" s="7">
        <f t="shared" si="1"/>
        <v>47205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19550.0</v>
      </c>
      <c r="D5" s="6">
        <v>12318.0</v>
      </c>
      <c r="E5" s="6">
        <v>17956.0</v>
      </c>
      <c r="F5" s="6">
        <v>6943.0</v>
      </c>
      <c r="G5" s="7">
        <f t="shared" si="1"/>
        <v>56767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22103.0</v>
      </c>
      <c r="D6" s="6">
        <v>20220.0</v>
      </c>
      <c r="E6" s="6">
        <v>13921.0</v>
      </c>
      <c r="F6" s="6">
        <v>10109.0</v>
      </c>
      <c r="G6" s="7">
        <f t="shared" si="1"/>
        <v>66353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19341.0</v>
      </c>
      <c r="D7" s="6">
        <v>18009.0</v>
      </c>
      <c r="E7" s="6">
        <v>10939.0</v>
      </c>
      <c r="F7" s="6">
        <v>13307.0</v>
      </c>
      <c r="G7" s="7">
        <f t="shared" si="1"/>
        <v>61596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8896.0</v>
      </c>
      <c r="D8" s="6">
        <v>8079.0</v>
      </c>
      <c r="E8" s="6">
        <v>11265.0</v>
      </c>
      <c r="F8" s="6">
        <v>7409.0</v>
      </c>
      <c r="G8" s="7">
        <f t="shared" si="1"/>
        <v>35649</v>
      </c>
      <c r="H8" s="11" t="s">
        <v>5</v>
      </c>
      <c r="I8" s="12">
        <f>SUM(G2:G8)</f>
        <v>368205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17253.0</v>
      </c>
      <c r="D9" s="16">
        <v>4414.0</v>
      </c>
      <c r="E9" s="16">
        <v>11268.0</v>
      </c>
      <c r="F9" s="16">
        <v>6472.0</v>
      </c>
      <c r="G9" s="17">
        <f t="shared" si="1"/>
        <v>39407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28174.0</v>
      </c>
      <c r="D10" s="19">
        <v>9517.0</v>
      </c>
      <c r="E10" s="19">
        <v>15399.0</v>
      </c>
      <c r="F10" s="19">
        <v>7574.0</v>
      </c>
      <c r="G10" s="17">
        <f t="shared" si="1"/>
        <v>60664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18933.0</v>
      </c>
      <c r="D11" s="19">
        <v>12345.0</v>
      </c>
      <c r="E11" s="19">
        <v>13886.0</v>
      </c>
      <c r="F11" s="19">
        <v>5162.0</v>
      </c>
      <c r="G11" s="17">
        <f t="shared" si="1"/>
        <v>50326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9643.0</v>
      </c>
      <c r="D12" s="19">
        <v>10081.0</v>
      </c>
      <c r="E12" s="19">
        <v>12654.0</v>
      </c>
      <c r="F12" s="19">
        <v>7217.0</v>
      </c>
      <c r="G12" s="17">
        <f t="shared" si="1"/>
        <v>39595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19">
        <v>10425.0</v>
      </c>
      <c r="D13" s="19">
        <v>10103.0</v>
      </c>
      <c r="E13" s="19">
        <v>16108.0</v>
      </c>
      <c r="F13" s="19">
        <v>8441.0</v>
      </c>
      <c r="G13" s="17">
        <f t="shared" si="1"/>
        <v>45077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235069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218002</v>
      </c>
      <c r="D30" s="45">
        <f t="shared" si="2"/>
        <v>134981</v>
      </c>
      <c r="E30" s="45">
        <f t="shared" si="2"/>
        <v>161862</v>
      </c>
      <c r="F30" s="45">
        <f t="shared" si="2"/>
        <v>88429</v>
      </c>
      <c r="G30" s="45">
        <f t="shared" si="2"/>
        <v>603274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88</v>
      </c>
      <c r="D1" s="58" t="s">
        <v>89</v>
      </c>
      <c r="E1" s="48" t="s">
        <v>90</v>
      </c>
      <c r="F1" s="48" t="s">
        <v>91</v>
      </c>
      <c r="G1" s="3"/>
      <c r="I1" s="3"/>
    </row>
    <row r="2">
      <c r="A2" s="4" t="s">
        <v>4</v>
      </c>
      <c r="B2" s="5">
        <v>46174.0</v>
      </c>
      <c r="C2" s="6">
        <v>8597.0</v>
      </c>
      <c r="D2" s="6">
        <v>9456.0</v>
      </c>
      <c r="E2" s="6">
        <v>3757.0</v>
      </c>
      <c r="F2" s="6">
        <v>7627.0</v>
      </c>
      <c r="G2" s="7">
        <f t="shared" ref="G2:G29" si="1">SUM(C2+D2+E2+F2)</f>
        <v>29437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10491.0</v>
      </c>
      <c r="D3" s="6">
        <v>10797.0</v>
      </c>
      <c r="E3" s="6">
        <v>9165.0</v>
      </c>
      <c r="F3" s="6">
        <v>9457.0</v>
      </c>
      <c r="G3" s="7">
        <f t="shared" si="1"/>
        <v>39910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12298.0</v>
      </c>
      <c r="D4" s="6">
        <v>13196.0</v>
      </c>
      <c r="E4" s="6">
        <v>8954.0</v>
      </c>
      <c r="F4" s="49">
        <v>8682.0</v>
      </c>
      <c r="G4" s="7">
        <f t="shared" si="1"/>
        <v>43130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8386.0</v>
      </c>
      <c r="D5" s="6">
        <v>8838.0</v>
      </c>
      <c r="E5" s="6">
        <v>15573.0</v>
      </c>
      <c r="F5" s="49">
        <v>14868.0</v>
      </c>
      <c r="G5" s="7">
        <f t="shared" si="1"/>
        <v>47665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12484.0</v>
      </c>
      <c r="D6" s="6">
        <v>6371.0</v>
      </c>
      <c r="E6" s="6">
        <v>11248.0</v>
      </c>
      <c r="F6" s="49">
        <v>12002.0</v>
      </c>
      <c r="G6" s="7">
        <f t="shared" si="1"/>
        <v>42105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10946.0</v>
      </c>
      <c r="D7" s="6">
        <v>8915.0</v>
      </c>
      <c r="E7" s="6">
        <v>5453.0</v>
      </c>
      <c r="F7" s="49">
        <v>14363.0</v>
      </c>
      <c r="G7" s="7">
        <f t="shared" si="1"/>
        <v>39677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59">
        <v>10111.0</v>
      </c>
      <c r="D8" s="6">
        <v>12366.0</v>
      </c>
      <c r="E8" s="9"/>
      <c r="F8" s="49">
        <v>7238.0</v>
      </c>
      <c r="G8" s="7">
        <f t="shared" si="1"/>
        <v>29715</v>
      </c>
      <c r="H8" s="11" t="s">
        <v>5</v>
      </c>
      <c r="I8" s="12">
        <f>SUM(G2:G8)</f>
        <v>271639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5541.0</v>
      </c>
      <c r="D9" s="16">
        <v>10201.0</v>
      </c>
      <c r="E9" s="50">
        <v>6857.0</v>
      </c>
      <c r="F9" s="50">
        <v>7042.0</v>
      </c>
      <c r="G9" s="17">
        <f t="shared" si="1"/>
        <v>29641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9358.0</v>
      </c>
      <c r="D10" s="19">
        <v>9350.0</v>
      </c>
      <c r="E10" s="51">
        <v>7314.0</v>
      </c>
      <c r="F10" s="51">
        <v>10989.0</v>
      </c>
      <c r="G10" s="17">
        <f t="shared" si="1"/>
        <v>37011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10511.0</v>
      </c>
      <c r="D11" s="51">
        <v>14586.0</v>
      </c>
      <c r="E11" s="51">
        <v>7791.0</v>
      </c>
      <c r="F11" s="51">
        <v>10720.0</v>
      </c>
      <c r="G11" s="17">
        <f t="shared" si="1"/>
        <v>43608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60">
        <v>10127.0</v>
      </c>
      <c r="D12" s="51">
        <v>10934.0</v>
      </c>
      <c r="E12" s="51">
        <v>7271.0</v>
      </c>
      <c r="F12" s="51">
        <v>7888.0</v>
      </c>
      <c r="G12" s="17">
        <f t="shared" si="1"/>
        <v>36220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146480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108850</v>
      </c>
      <c r="D30" s="45">
        <f t="shared" si="2"/>
        <v>115010</v>
      </c>
      <c r="E30" s="45">
        <f t="shared" si="2"/>
        <v>83383</v>
      </c>
      <c r="F30" s="45">
        <f t="shared" si="2"/>
        <v>110876</v>
      </c>
      <c r="G30" s="45">
        <f t="shared" si="2"/>
        <v>418119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92</v>
      </c>
      <c r="D1" s="48" t="s">
        <v>93</v>
      </c>
      <c r="E1" s="48" t="s">
        <v>94</v>
      </c>
      <c r="F1" s="48" t="s">
        <v>95</v>
      </c>
      <c r="G1" s="3"/>
      <c r="I1" s="3"/>
    </row>
    <row r="2">
      <c r="A2" s="4" t="s">
        <v>4</v>
      </c>
      <c r="B2" s="5">
        <v>46174.0</v>
      </c>
      <c r="C2" s="6">
        <v>6528.0</v>
      </c>
      <c r="D2" s="6">
        <v>8964.0</v>
      </c>
      <c r="E2" s="6">
        <v>10092.0</v>
      </c>
      <c r="F2" s="6">
        <v>13650.0</v>
      </c>
      <c r="G2" s="7">
        <f t="shared" ref="G2:G29" si="1">SUM(C2+D2+E2+F2)</f>
        <v>39234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8896.0</v>
      </c>
      <c r="D3" s="6">
        <v>10165.0</v>
      </c>
      <c r="E3" s="6">
        <v>9880.0</v>
      </c>
      <c r="F3" s="6">
        <v>13324.0</v>
      </c>
      <c r="G3" s="7">
        <f t="shared" si="1"/>
        <v>42265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4886.0</v>
      </c>
      <c r="D4" s="6">
        <v>10558.0</v>
      </c>
      <c r="E4" s="6">
        <v>6771.0</v>
      </c>
      <c r="F4" s="49">
        <v>14567.0</v>
      </c>
      <c r="G4" s="7">
        <f t="shared" si="1"/>
        <v>36782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4767.0</v>
      </c>
      <c r="D5" s="6">
        <v>10057.0</v>
      </c>
      <c r="E5" s="6">
        <v>12827.0</v>
      </c>
      <c r="F5" s="49">
        <v>14539.0</v>
      </c>
      <c r="G5" s="7">
        <f t="shared" si="1"/>
        <v>42190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10899.0</v>
      </c>
      <c r="D6" s="6">
        <v>10145.0</v>
      </c>
      <c r="E6" s="6">
        <v>10978.0</v>
      </c>
      <c r="F6" s="49">
        <v>12187.0</v>
      </c>
      <c r="G6" s="7">
        <f t="shared" si="1"/>
        <v>44209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12555.0</v>
      </c>
      <c r="D7" s="6">
        <v>7108.0</v>
      </c>
      <c r="E7" s="6">
        <v>15611.0</v>
      </c>
      <c r="F7" s="49">
        <v>17525.0</v>
      </c>
      <c r="G7" s="7">
        <f t="shared" si="1"/>
        <v>52799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14453.0</v>
      </c>
      <c r="D8" s="6">
        <v>8620.0</v>
      </c>
      <c r="E8" s="49">
        <v>9518.0</v>
      </c>
      <c r="F8" s="49">
        <v>11091.0</v>
      </c>
      <c r="G8" s="7">
        <f t="shared" si="1"/>
        <v>43682</v>
      </c>
      <c r="H8" s="11" t="s">
        <v>5</v>
      </c>
      <c r="I8" s="12">
        <f>SUM(G2:G8)</f>
        <v>301161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9332.0</v>
      </c>
      <c r="D9" s="16">
        <v>11141.0</v>
      </c>
      <c r="E9" s="50">
        <v>10669.0</v>
      </c>
      <c r="F9" s="50">
        <v>13118.0</v>
      </c>
      <c r="G9" s="17">
        <f t="shared" si="1"/>
        <v>44260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10562.0</v>
      </c>
      <c r="D10" s="19">
        <v>9211.0</v>
      </c>
      <c r="E10" s="51">
        <v>9612.0</v>
      </c>
      <c r="F10" s="51">
        <v>11353.0</v>
      </c>
      <c r="G10" s="17">
        <f t="shared" si="1"/>
        <v>40738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11365.0</v>
      </c>
      <c r="D11" s="51">
        <v>10871.0</v>
      </c>
      <c r="E11" s="51">
        <v>8966.0</v>
      </c>
      <c r="F11" s="51">
        <v>11218.0</v>
      </c>
      <c r="G11" s="17">
        <f t="shared" si="1"/>
        <v>42420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9136.0</v>
      </c>
      <c r="D12" s="51">
        <v>12600.0</v>
      </c>
      <c r="E12" s="51">
        <v>4930.0</v>
      </c>
      <c r="F12" s="51">
        <v>14313.0</v>
      </c>
      <c r="G12" s="17">
        <f t="shared" si="1"/>
        <v>40979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10093.0</v>
      </c>
      <c r="D13" s="51">
        <v>14784.0</v>
      </c>
      <c r="E13" s="51">
        <v>8071.0</v>
      </c>
      <c r="F13" s="51">
        <v>10630.0</v>
      </c>
      <c r="G13" s="17">
        <f t="shared" si="1"/>
        <v>43578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211975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113472</v>
      </c>
      <c r="D30" s="45">
        <f t="shared" si="2"/>
        <v>124224</v>
      </c>
      <c r="E30" s="45">
        <f t="shared" si="2"/>
        <v>117925</v>
      </c>
      <c r="F30" s="45">
        <f t="shared" si="2"/>
        <v>157515</v>
      </c>
      <c r="G30" s="45">
        <f t="shared" si="2"/>
        <v>513136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96</v>
      </c>
      <c r="D1" s="48" t="s">
        <v>97</v>
      </c>
      <c r="E1" s="48" t="s">
        <v>98</v>
      </c>
      <c r="F1" s="48" t="s">
        <v>99</v>
      </c>
      <c r="G1" s="3"/>
      <c r="I1" s="3"/>
    </row>
    <row r="2">
      <c r="A2" s="4" t="s">
        <v>4</v>
      </c>
      <c r="B2" s="5">
        <v>46174.0</v>
      </c>
      <c r="C2" s="6">
        <v>10150.0</v>
      </c>
      <c r="D2" s="6">
        <v>16364.0</v>
      </c>
      <c r="E2" s="6">
        <v>10184.0</v>
      </c>
      <c r="F2" s="6">
        <v>17465.0</v>
      </c>
      <c r="G2" s="7">
        <f t="shared" ref="G2:G29" si="1">SUM(C2+D2+E2+F2)</f>
        <v>54163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6424.0</v>
      </c>
      <c r="D3" s="6">
        <v>16274.0</v>
      </c>
      <c r="E3" s="6">
        <v>10233.0</v>
      </c>
      <c r="F3" s="6">
        <v>14044.0</v>
      </c>
      <c r="G3" s="7">
        <f t="shared" si="1"/>
        <v>46975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10217.0</v>
      </c>
      <c r="D4" s="6">
        <v>13423.0</v>
      </c>
      <c r="E4" s="6">
        <v>9278.0</v>
      </c>
      <c r="F4" s="49">
        <v>11454.0</v>
      </c>
      <c r="G4" s="7">
        <f t="shared" si="1"/>
        <v>44372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10020.0</v>
      </c>
      <c r="D5" s="6">
        <v>17728.0</v>
      </c>
      <c r="E5" s="6">
        <v>9000.0</v>
      </c>
      <c r="F5" s="49">
        <v>12126.0</v>
      </c>
      <c r="G5" s="7">
        <f t="shared" si="1"/>
        <v>48874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7653.0</v>
      </c>
      <c r="D6" s="6">
        <v>7707.0</v>
      </c>
      <c r="E6" s="6">
        <v>9583.0</v>
      </c>
      <c r="F6" s="49">
        <v>17117.0</v>
      </c>
      <c r="G6" s="7">
        <f t="shared" si="1"/>
        <v>42060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4757.0</v>
      </c>
      <c r="D7" s="6">
        <v>11921.0</v>
      </c>
      <c r="E7" s="6">
        <v>12092.0</v>
      </c>
      <c r="F7" s="49">
        <v>16242.0</v>
      </c>
      <c r="G7" s="7">
        <f t="shared" si="1"/>
        <v>45012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4325.0</v>
      </c>
      <c r="D8" s="6">
        <v>11748.0</v>
      </c>
      <c r="E8" s="6">
        <v>9591.0</v>
      </c>
      <c r="F8" s="6">
        <v>19430.0</v>
      </c>
      <c r="G8" s="7">
        <f t="shared" si="1"/>
        <v>45094</v>
      </c>
      <c r="H8" s="11" t="s">
        <v>5</v>
      </c>
      <c r="I8" s="12">
        <f>SUM(G2:G8)</f>
        <v>326550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6784.0</v>
      </c>
      <c r="D9" s="16">
        <v>12132.0</v>
      </c>
      <c r="E9" s="16">
        <v>5887.0</v>
      </c>
      <c r="F9" s="16">
        <v>7106.0</v>
      </c>
      <c r="G9" s="17">
        <f t="shared" si="1"/>
        <v>31909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12506.0</v>
      </c>
      <c r="D10" s="19">
        <v>13567.0</v>
      </c>
      <c r="E10" s="19">
        <v>6290.0</v>
      </c>
      <c r="F10" s="19">
        <v>11888.0</v>
      </c>
      <c r="G10" s="17">
        <f t="shared" si="1"/>
        <v>44251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10931.0</v>
      </c>
      <c r="D11" s="51">
        <v>13826.0</v>
      </c>
      <c r="E11" s="51">
        <v>8840.0</v>
      </c>
      <c r="F11" s="51">
        <v>10585.0</v>
      </c>
      <c r="G11" s="17">
        <f t="shared" si="1"/>
        <v>44182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7040.0</v>
      </c>
      <c r="D12" s="51">
        <v>9319.0</v>
      </c>
      <c r="E12" s="51">
        <v>6187.0</v>
      </c>
      <c r="F12" s="51">
        <v>5696.0</v>
      </c>
      <c r="G12" s="17">
        <f t="shared" si="1"/>
        <v>28242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10647.0</v>
      </c>
      <c r="D13" s="51">
        <v>14286.0</v>
      </c>
      <c r="E13" s="51">
        <v>9540.0</v>
      </c>
      <c r="F13" s="51">
        <v>11117.0</v>
      </c>
      <c r="G13" s="17">
        <f t="shared" si="1"/>
        <v>45590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51">
        <v>12380.0</v>
      </c>
      <c r="E14" s="51">
        <v>9051.0</v>
      </c>
      <c r="F14" s="19">
        <v>10636.0</v>
      </c>
      <c r="G14" s="17">
        <f t="shared" si="1"/>
        <v>32067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51">
        <v>10075.0</v>
      </c>
      <c r="G15" s="17">
        <f t="shared" si="1"/>
        <v>10075</v>
      </c>
      <c r="H15" s="22" t="s">
        <v>5</v>
      </c>
      <c r="I15" s="23">
        <f>SUM(G9:G15)</f>
        <v>236316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101454</v>
      </c>
      <c r="D30" s="45">
        <f t="shared" si="2"/>
        <v>170675</v>
      </c>
      <c r="E30" s="45">
        <f t="shared" si="2"/>
        <v>115756</v>
      </c>
      <c r="F30" s="45">
        <f t="shared" si="2"/>
        <v>174981</v>
      </c>
      <c r="G30" s="45">
        <f t="shared" si="2"/>
        <v>562866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100</v>
      </c>
      <c r="D1" s="48" t="s">
        <v>101</v>
      </c>
      <c r="E1" s="48" t="s">
        <v>102</v>
      </c>
      <c r="F1" s="48" t="s">
        <v>103</v>
      </c>
      <c r="G1" s="3"/>
      <c r="I1" s="3"/>
    </row>
    <row r="2">
      <c r="A2" s="4" t="s">
        <v>4</v>
      </c>
      <c r="B2" s="5">
        <v>46174.0</v>
      </c>
      <c r="C2" s="6">
        <v>11615.0</v>
      </c>
      <c r="D2" s="6">
        <v>7162.0</v>
      </c>
      <c r="E2" s="6">
        <v>12482.0</v>
      </c>
      <c r="F2" s="6">
        <v>15074.0</v>
      </c>
      <c r="G2" s="7">
        <f t="shared" ref="G2:G29" si="1">SUM(C2+D2+E2+F2)</f>
        <v>46333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11678.0</v>
      </c>
      <c r="D3" s="6">
        <v>8461.0</v>
      </c>
      <c r="E3" s="6">
        <v>14246.0</v>
      </c>
      <c r="F3" s="6">
        <v>13782.0</v>
      </c>
      <c r="G3" s="7">
        <f t="shared" si="1"/>
        <v>48167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10826.0</v>
      </c>
      <c r="D4" s="6">
        <v>20003.0</v>
      </c>
      <c r="E4" s="6">
        <v>14118.0</v>
      </c>
      <c r="F4" s="49">
        <v>16441.0</v>
      </c>
      <c r="G4" s="7">
        <f t="shared" si="1"/>
        <v>61388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9732.0</v>
      </c>
      <c r="D5" s="6">
        <v>10116.0</v>
      </c>
      <c r="E5" s="6">
        <v>11037.0</v>
      </c>
      <c r="F5" s="49">
        <v>20760.0</v>
      </c>
      <c r="G5" s="7">
        <f t="shared" si="1"/>
        <v>51645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13960.0</v>
      </c>
      <c r="D6" s="6">
        <v>10003.0</v>
      </c>
      <c r="E6" s="6">
        <v>14319.0</v>
      </c>
      <c r="F6" s="49">
        <v>12441.0</v>
      </c>
      <c r="G6" s="7">
        <f t="shared" si="1"/>
        <v>50723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15005.0</v>
      </c>
      <c r="D7" s="6">
        <v>10001.0</v>
      </c>
      <c r="E7" s="6">
        <v>16056.0</v>
      </c>
      <c r="F7" s="49">
        <v>20392.0</v>
      </c>
      <c r="G7" s="7">
        <f t="shared" si="1"/>
        <v>61454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11147.0</v>
      </c>
      <c r="D8" s="6">
        <v>10017.0</v>
      </c>
      <c r="E8" s="49">
        <v>8279.0</v>
      </c>
      <c r="F8" s="49">
        <v>13306.0</v>
      </c>
      <c r="G8" s="7">
        <f t="shared" si="1"/>
        <v>42749</v>
      </c>
      <c r="H8" s="11" t="s">
        <v>5</v>
      </c>
      <c r="I8" s="12">
        <f>SUM(G2:G8)</f>
        <v>362459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11635.0</v>
      </c>
      <c r="D9" s="16">
        <v>10156.0</v>
      </c>
      <c r="E9" s="50">
        <v>15049.0</v>
      </c>
      <c r="F9" s="50">
        <v>13061.0</v>
      </c>
      <c r="G9" s="17">
        <f t="shared" si="1"/>
        <v>49901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9710.0</v>
      </c>
      <c r="D10" s="19">
        <v>11125.0</v>
      </c>
      <c r="E10" s="51">
        <v>15387.0</v>
      </c>
      <c r="F10" s="51">
        <v>18796.0</v>
      </c>
      <c r="G10" s="17">
        <f t="shared" si="1"/>
        <v>55018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10912.0</v>
      </c>
      <c r="D11" s="51">
        <v>9783.0</v>
      </c>
      <c r="E11" s="51">
        <v>14073.0</v>
      </c>
      <c r="F11" s="51">
        <v>13220.0</v>
      </c>
      <c r="G11" s="17">
        <f t="shared" si="1"/>
        <v>47988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6346.0</v>
      </c>
      <c r="D12" s="51">
        <v>10511.0</v>
      </c>
      <c r="E12" s="51">
        <v>10981.0</v>
      </c>
      <c r="F12" s="51">
        <v>16107.0</v>
      </c>
      <c r="G12" s="17">
        <f t="shared" si="1"/>
        <v>43945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18668.0</v>
      </c>
      <c r="D13" s="51">
        <v>11617.0</v>
      </c>
      <c r="E13" s="51">
        <v>10769.0</v>
      </c>
      <c r="F13" s="51">
        <v>13408.0</v>
      </c>
      <c r="G13" s="17">
        <f t="shared" si="1"/>
        <v>54462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15121.0</v>
      </c>
      <c r="D14" s="51">
        <v>13101.0</v>
      </c>
      <c r="E14" s="51">
        <v>12209.0</v>
      </c>
      <c r="F14" s="19">
        <v>25747.0</v>
      </c>
      <c r="G14" s="17">
        <f t="shared" si="1"/>
        <v>66178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5518.0</v>
      </c>
      <c r="D15" s="51">
        <v>7496.0</v>
      </c>
      <c r="E15" s="51">
        <v>8325.0</v>
      </c>
      <c r="F15" s="51">
        <v>23322.0</v>
      </c>
      <c r="G15" s="17">
        <f t="shared" si="1"/>
        <v>44661</v>
      </c>
      <c r="H15" s="22" t="s">
        <v>5</v>
      </c>
      <c r="I15" s="23">
        <f>SUM(G9:G15)</f>
        <v>362153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161873</v>
      </c>
      <c r="D30" s="45">
        <f t="shared" si="2"/>
        <v>149552</v>
      </c>
      <c r="E30" s="45">
        <f t="shared" si="2"/>
        <v>177330</v>
      </c>
      <c r="F30" s="45">
        <f t="shared" si="2"/>
        <v>235857</v>
      </c>
      <c r="G30" s="45">
        <f t="shared" si="2"/>
        <v>724612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104</v>
      </c>
      <c r="D1" s="48" t="s">
        <v>105</v>
      </c>
      <c r="E1" s="48" t="s">
        <v>106</v>
      </c>
      <c r="F1" s="48" t="s">
        <v>107</v>
      </c>
      <c r="G1" s="3"/>
      <c r="I1" s="3"/>
    </row>
    <row r="2">
      <c r="A2" s="4" t="s">
        <v>4</v>
      </c>
      <c r="B2" s="5">
        <v>46174.0</v>
      </c>
      <c r="C2" s="6">
        <v>7088.0</v>
      </c>
      <c r="D2" s="6">
        <v>11545.0</v>
      </c>
      <c r="E2" s="6">
        <v>10295.0</v>
      </c>
      <c r="F2" s="6">
        <v>18912.0</v>
      </c>
      <c r="G2" s="7">
        <f t="shared" ref="G2:G29" si="1">SUM(C2+D2+E2+F2)</f>
        <v>47840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5200.0</v>
      </c>
      <c r="D3" s="6">
        <v>15514.0</v>
      </c>
      <c r="E3" s="6">
        <v>11131.0</v>
      </c>
      <c r="F3" s="6">
        <v>17096.0</v>
      </c>
      <c r="G3" s="7">
        <f t="shared" si="1"/>
        <v>48941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4048.0</v>
      </c>
      <c r="D4" s="6">
        <v>12533.0</v>
      </c>
      <c r="E4" s="6">
        <v>12218.0</v>
      </c>
      <c r="F4" s="49">
        <v>12089.0</v>
      </c>
      <c r="G4" s="7">
        <f t="shared" si="1"/>
        <v>40888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4810.0</v>
      </c>
      <c r="D5" s="6">
        <v>9909.0</v>
      </c>
      <c r="E5" s="6">
        <v>12203.0</v>
      </c>
      <c r="F5" s="49">
        <v>20045.0</v>
      </c>
      <c r="G5" s="7">
        <f t="shared" si="1"/>
        <v>46967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6920.0</v>
      </c>
      <c r="D6" s="6">
        <v>9473.0</v>
      </c>
      <c r="E6" s="6">
        <v>12622.0</v>
      </c>
      <c r="F6" s="49">
        <v>12703.0</v>
      </c>
      <c r="G6" s="7">
        <f t="shared" si="1"/>
        <v>41718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2663.0</v>
      </c>
      <c r="D7" s="6">
        <v>10305.0</v>
      </c>
      <c r="E7" s="6">
        <v>10805.0</v>
      </c>
      <c r="F7" s="49">
        <v>16831.0</v>
      </c>
      <c r="G7" s="7">
        <f t="shared" si="1"/>
        <v>40604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2343.0</v>
      </c>
      <c r="D8" s="6">
        <v>10944.0</v>
      </c>
      <c r="E8" s="49">
        <v>5434.0</v>
      </c>
      <c r="F8" s="49">
        <v>10637.0</v>
      </c>
      <c r="G8" s="7">
        <f t="shared" si="1"/>
        <v>29358</v>
      </c>
      <c r="H8" s="11" t="s">
        <v>5</v>
      </c>
      <c r="I8" s="12">
        <f>SUM(G2:G8)</f>
        <v>296316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5267.0</v>
      </c>
      <c r="D9" s="16">
        <v>11283.0</v>
      </c>
      <c r="E9" s="50">
        <v>12557.0</v>
      </c>
      <c r="F9" s="50">
        <v>13605.0</v>
      </c>
      <c r="G9" s="17">
        <f t="shared" si="1"/>
        <v>42712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4523.0</v>
      </c>
      <c r="D10" s="19">
        <v>10285.0</v>
      </c>
      <c r="E10" s="51">
        <v>10310.0</v>
      </c>
      <c r="F10" s="51">
        <v>10883.0</v>
      </c>
      <c r="G10" s="17">
        <f t="shared" si="1"/>
        <v>36001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11658.0</v>
      </c>
      <c r="D11" s="51">
        <v>8117.0</v>
      </c>
      <c r="E11" s="51">
        <v>10037.0</v>
      </c>
      <c r="F11" s="51">
        <v>15433.0</v>
      </c>
      <c r="G11" s="17">
        <f t="shared" si="1"/>
        <v>45245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13213.0</v>
      </c>
      <c r="D12" s="51">
        <v>5076.0</v>
      </c>
      <c r="E12" s="51">
        <v>8206.0</v>
      </c>
      <c r="F12" s="51">
        <v>20269.0</v>
      </c>
      <c r="G12" s="17">
        <f t="shared" si="1"/>
        <v>46764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51">
        <v>5484.0</v>
      </c>
      <c r="D13" s="51">
        <v>9813.0</v>
      </c>
      <c r="E13" s="51">
        <v>6575.0</v>
      </c>
      <c r="F13" s="51">
        <v>11989.0</v>
      </c>
      <c r="G13" s="17">
        <f t="shared" si="1"/>
        <v>33861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51">
        <v>11410.0</v>
      </c>
      <c r="D14" s="51">
        <v>9882.0</v>
      </c>
      <c r="E14" s="51">
        <v>11384.0</v>
      </c>
      <c r="F14" s="19">
        <v>12522.0</v>
      </c>
      <c r="G14" s="17">
        <f t="shared" si="1"/>
        <v>45198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51">
        <v>3901.0</v>
      </c>
      <c r="D15" s="51">
        <v>5820.0</v>
      </c>
      <c r="E15" s="51">
        <v>3094.0</v>
      </c>
      <c r="F15" s="51">
        <v>4056.0</v>
      </c>
      <c r="G15" s="17">
        <f t="shared" si="1"/>
        <v>16871</v>
      </c>
      <c r="H15" s="22" t="s">
        <v>5</v>
      </c>
      <c r="I15" s="23">
        <f>SUM(G9:G15)</f>
        <v>266652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88528</v>
      </c>
      <c r="D30" s="45">
        <f t="shared" si="2"/>
        <v>140499</v>
      </c>
      <c r="E30" s="45">
        <f t="shared" si="2"/>
        <v>136871</v>
      </c>
      <c r="F30" s="45">
        <f t="shared" si="2"/>
        <v>197070</v>
      </c>
      <c r="G30" s="45">
        <f t="shared" si="2"/>
        <v>562968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108</v>
      </c>
      <c r="D1" s="48" t="s">
        <v>109</v>
      </c>
      <c r="E1" s="48" t="s">
        <v>110</v>
      </c>
      <c r="F1" s="48" t="s">
        <v>111</v>
      </c>
      <c r="G1" s="3"/>
      <c r="I1" s="3"/>
    </row>
    <row r="2">
      <c r="A2" s="4" t="s">
        <v>4</v>
      </c>
      <c r="B2" s="5">
        <v>46174.0</v>
      </c>
      <c r="C2" s="6">
        <v>11681.0</v>
      </c>
      <c r="D2" s="6">
        <v>7312.0</v>
      </c>
      <c r="E2" s="6">
        <v>13158.0</v>
      </c>
      <c r="F2" s="6">
        <v>16117.0</v>
      </c>
      <c r="G2" s="7">
        <f t="shared" ref="G2:G29" si="1">SUM(C2+D2+E2+F2)</f>
        <v>48268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12168.0</v>
      </c>
      <c r="D3" s="6">
        <v>10476.0</v>
      </c>
      <c r="E3" s="6">
        <v>12060.0</v>
      </c>
      <c r="F3" s="6">
        <v>15708.0</v>
      </c>
      <c r="G3" s="7">
        <f t="shared" si="1"/>
        <v>50412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7019.0</v>
      </c>
      <c r="D4" s="6">
        <v>8401.0</v>
      </c>
      <c r="E4" s="6">
        <v>19111.0</v>
      </c>
      <c r="F4" s="49">
        <v>14491.0</v>
      </c>
      <c r="G4" s="7">
        <f t="shared" si="1"/>
        <v>49022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9579.0</v>
      </c>
      <c r="D5" s="6">
        <v>13518.0</v>
      </c>
      <c r="E5" s="6">
        <v>13236.0</v>
      </c>
      <c r="F5" s="49">
        <v>10762.0</v>
      </c>
      <c r="G5" s="7">
        <f t="shared" si="1"/>
        <v>47095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9265.0</v>
      </c>
      <c r="D6" s="6">
        <v>9481.0</v>
      </c>
      <c r="E6" s="6">
        <v>9210.0</v>
      </c>
      <c r="F6" s="49">
        <v>13719.0</v>
      </c>
      <c r="G6" s="7">
        <f t="shared" si="1"/>
        <v>41675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11698.0</v>
      </c>
      <c r="D7" s="6">
        <v>5829.0</v>
      </c>
      <c r="E7" s="6">
        <v>13211.0</v>
      </c>
      <c r="F7" s="49">
        <v>13321.0</v>
      </c>
      <c r="G7" s="7">
        <f t="shared" si="1"/>
        <v>44059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5381.0</v>
      </c>
      <c r="D8" s="6">
        <v>4383.0</v>
      </c>
      <c r="E8" s="49">
        <v>12953.0</v>
      </c>
      <c r="F8" s="49">
        <v>17303.0</v>
      </c>
      <c r="G8" s="7">
        <f t="shared" si="1"/>
        <v>40020</v>
      </c>
      <c r="H8" s="11" t="s">
        <v>5</v>
      </c>
      <c r="I8" s="12">
        <f>SUM(G2:G8)</f>
        <v>320551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50">
        <v>5590.0</v>
      </c>
      <c r="D9" s="16">
        <v>8547.0</v>
      </c>
      <c r="E9" s="50">
        <v>12130.0</v>
      </c>
      <c r="F9" s="50">
        <v>11213.0</v>
      </c>
      <c r="G9" s="17">
        <f t="shared" si="1"/>
        <v>37480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8883.0</v>
      </c>
      <c r="D10" s="19">
        <v>8728.0</v>
      </c>
      <c r="E10" s="51">
        <v>9260.0</v>
      </c>
      <c r="F10" s="51">
        <v>11320.0</v>
      </c>
      <c r="G10" s="17">
        <f t="shared" si="1"/>
        <v>38191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51">
        <v>10931.0</v>
      </c>
      <c r="D11" s="51">
        <v>4090.0</v>
      </c>
      <c r="E11" s="51">
        <v>7300.0</v>
      </c>
      <c r="F11" s="51">
        <v>13511.0</v>
      </c>
      <c r="G11" s="17">
        <f t="shared" si="1"/>
        <v>35832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51">
        <v>13704.0</v>
      </c>
      <c r="D12" s="51">
        <v>10303.0</v>
      </c>
      <c r="E12" s="51">
        <v>10476.0</v>
      </c>
      <c r="F12" s="51">
        <v>11695.0</v>
      </c>
      <c r="G12" s="17">
        <f t="shared" si="1"/>
        <v>46178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157681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105899</v>
      </c>
      <c r="D30" s="45">
        <f t="shared" si="2"/>
        <v>91068</v>
      </c>
      <c r="E30" s="45">
        <f t="shared" si="2"/>
        <v>132105</v>
      </c>
      <c r="F30" s="45">
        <f t="shared" si="2"/>
        <v>149160</v>
      </c>
      <c r="G30" s="45">
        <f t="shared" si="2"/>
        <v>478232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printOptions/>
  <pageMargins bottom="0.75" footer="0.0" header="0.0" left="0.7" right="0.7" top="0.75"/>
  <pageSetup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13"/>
    <col customWidth="1" min="2" max="2" width="12.25"/>
    <col customWidth="1" min="3" max="3" width="15.25"/>
    <col customWidth="1" min="4" max="4" width="15.38"/>
    <col customWidth="1" min="5" max="5" width="13.75"/>
    <col customWidth="1" min="6" max="6" width="15.88"/>
    <col customWidth="1" min="7" max="7" width="13.75"/>
    <col customWidth="1" min="8" max="9" width="10.63"/>
    <col customWidth="1" min="10" max="26" width="8.63"/>
  </cols>
  <sheetData>
    <row r="1">
      <c r="C1" s="47" t="s">
        <v>112</v>
      </c>
      <c r="D1" s="48" t="s">
        <v>113</v>
      </c>
      <c r="E1" s="48" t="s">
        <v>114</v>
      </c>
      <c r="F1" s="48" t="s">
        <v>115</v>
      </c>
      <c r="G1" s="3"/>
      <c r="I1" s="3"/>
    </row>
    <row r="2">
      <c r="A2" s="4" t="s">
        <v>4</v>
      </c>
      <c r="B2" s="5">
        <v>46174.0</v>
      </c>
      <c r="C2" s="6">
        <v>14347.0</v>
      </c>
      <c r="D2" s="6">
        <v>14297.0</v>
      </c>
      <c r="E2" s="6"/>
      <c r="F2" s="6">
        <v>9195.0</v>
      </c>
      <c r="G2" s="7">
        <f t="shared" ref="G2:G29" si="1">SUM(C2+D2+E2+F2)</f>
        <v>37839</v>
      </c>
      <c r="H2" s="8"/>
      <c r="I2" s="9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/>
      <c r="B3" s="5">
        <v>46175.0</v>
      </c>
      <c r="C3" s="6">
        <v>13687.0</v>
      </c>
      <c r="D3" s="6">
        <v>12993.0</v>
      </c>
      <c r="E3" s="6">
        <v>1686.0</v>
      </c>
      <c r="F3" s="6">
        <v>13273.0</v>
      </c>
      <c r="G3" s="7">
        <f t="shared" si="1"/>
        <v>41639</v>
      </c>
      <c r="H3" s="8"/>
      <c r="I3" s="9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/>
      <c r="B4" s="5">
        <v>46176.0</v>
      </c>
      <c r="C4" s="6">
        <v>4262.0</v>
      </c>
      <c r="D4" s="6">
        <v>15030.0</v>
      </c>
      <c r="E4" s="6">
        <v>10710.0</v>
      </c>
      <c r="F4" s="6">
        <v>13272.0</v>
      </c>
      <c r="G4" s="7">
        <f t="shared" si="1"/>
        <v>43274</v>
      </c>
      <c r="H4" s="8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/>
      <c r="B5" s="5">
        <v>46177.0</v>
      </c>
      <c r="C5" s="6">
        <v>10781.0</v>
      </c>
      <c r="D5" s="6">
        <v>18749.0</v>
      </c>
      <c r="E5" s="6">
        <v>13282.0</v>
      </c>
      <c r="F5" s="6">
        <v>15242.0</v>
      </c>
      <c r="G5" s="7">
        <f t="shared" si="1"/>
        <v>58054</v>
      </c>
      <c r="H5" s="8"/>
      <c r="I5" s="9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/>
      <c r="B6" s="5">
        <v>46178.0</v>
      </c>
      <c r="C6" s="6">
        <v>13089.0</v>
      </c>
      <c r="D6" s="6">
        <v>17114.0</v>
      </c>
      <c r="E6" s="6">
        <v>8008.0</v>
      </c>
      <c r="F6" s="6">
        <v>13329.0</v>
      </c>
      <c r="G6" s="7">
        <f t="shared" si="1"/>
        <v>51540</v>
      </c>
      <c r="H6" s="8"/>
      <c r="I6" s="9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/>
      <c r="B7" s="5">
        <v>46179.0</v>
      </c>
      <c r="C7" s="6">
        <v>14922.0</v>
      </c>
      <c r="D7" s="6">
        <v>23309.0</v>
      </c>
      <c r="E7" s="6">
        <v>10939.0</v>
      </c>
      <c r="F7" s="6">
        <v>3754.0</v>
      </c>
      <c r="G7" s="7">
        <f t="shared" si="1"/>
        <v>52924</v>
      </c>
      <c r="H7" s="11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/>
      <c r="B8" s="5">
        <v>46180.0</v>
      </c>
      <c r="C8" s="6">
        <v>11817.0</v>
      </c>
      <c r="D8" s="6">
        <v>8090.0</v>
      </c>
      <c r="E8" s="6">
        <v>10439.0</v>
      </c>
      <c r="F8" s="6">
        <v>4277.0</v>
      </c>
      <c r="G8" s="7">
        <f t="shared" si="1"/>
        <v>34623</v>
      </c>
      <c r="H8" s="11" t="s">
        <v>5</v>
      </c>
      <c r="I8" s="12">
        <f>SUM(G2:G8)</f>
        <v>319893</v>
      </c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6</v>
      </c>
      <c r="B9" s="14">
        <v>46181.0</v>
      </c>
      <c r="C9" s="16">
        <v>11428.0</v>
      </c>
      <c r="D9" s="16">
        <v>20278.0</v>
      </c>
      <c r="E9" s="16">
        <v>13484.0</v>
      </c>
      <c r="F9" s="16">
        <v>12556.0</v>
      </c>
      <c r="G9" s="17">
        <f t="shared" si="1"/>
        <v>57746</v>
      </c>
      <c r="H9" s="18"/>
      <c r="I9" s="17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0"/>
      <c r="B10" s="14">
        <v>46182.0</v>
      </c>
      <c r="C10" s="19">
        <v>9543.0</v>
      </c>
      <c r="D10" s="19">
        <v>18619.0</v>
      </c>
      <c r="E10" s="19">
        <v>8296.0</v>
      </c>
      <c r="F10" s="19">
        <v>11632.0</v>
      </c>
      <c r="G10" s="17">
        <f t="shared" si="1"/>
        <v>48090</v>
      </c>
      <c r="H10" s="21"/>
      <c r="I10" s="20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>
      <c r="A11" s="10"/>
      <c r="B11" s="14">
        <v>46183.0</v>
      </c>
      <c r="C11" s="19">
        <v>10024.0</v>
      </c>
      <c r="D11" s="19">
        <v>16353.0</v>
      </c>
      <c r="E11" s="19">
        <v>10053.0</v>
      </c>
      <c r="F11" s="19">
        <v>13442.0</v>
      </c>
      <c r="G11" s="17">
        <f t="shared" si="1"/>
        <v>49872</v>
      </c>
      <c r="H11" s="21"/>
      <c r="I11" s="20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>
      <c r="A12" s="10"/>
      <c r="B12" s="14">
        <v>46184.0</v>
      </c>
      <c r="C12" s="19">
        <v>8693.0</v>
      </c>
      <c r="D12" s="19">
        <v>16255.0</v>
      </c>
      <c r="E12" s="20"/>
      <c r="F12" s="19">
        <v>12716.0</v>
      </c>
      <c r="G12" s="17">
        <f t="shared" si="1"/>
        <v>37664</v>
      </c>
      <c r="H12" s="21"/>
      <c r="I12" s="20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>
      <c r="A13" s="10"/>
      <c r="B13" s="14">
        <v>46185.0</v>
      </c>
      <c r="C13" s="20"/>
      <c r="D13" s="20"/>
      <c r="E13" s="20"/>
      <c r="F13" s="20"/>
      <c r="G13" s="17">
        <f t="shared" si="1"/>
        <v>0</v>
      </c>
      <c r="H13" s="21"/>
      <c r="I13" s="20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>
      <c r="A14" s="10"/>
      <c r="B14" s="14">
        <v>46186.0</v>
      </c>
      <c r="C14" s="20"/>
      <c r="D14" s="20"/>
      <c r="E14" s="20"/>
      <c r="F14" s="19"/>
      <c r="G14" s="17">
        <f t="shared" si="1"/>
        <v>0</v>
      </c>
      <c r="H14" s="21"/>
      <c r="I14" s="20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>
      <c r="A15" s="10"/>
      <c r="B15" s="14">
        <v>46187.0</v>
      </c>
      <c r="C15" s="20"/>
      <c r="D15" s="20"/>
      <c r="E15" s="20"/>
      <c r="F15" s="20"/>
      <c r="G15" s="17">
        <f t="shared" si="1"/>
        <v>0</v>
      </c>
      <c r="H15" s="22" t="s">
        <v>5</v>
      </c>
      <c r="I15" s="23">
        <f>SUM(G9:G15)</f>
        <v>193372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>
      <c r="A16" s="24" t="s">
        <v>7</v>
      </c>
      <c r="B16" s="25">
        <v>46188.0</v>
      </c>
      <c r="C16" s="26"/>
      <c r="D16" s="26"/>
      <c r="E16" s="26"/>
      <c r="F16" s="26"/>
      <c r="G16" s="27">
        <f t="shared" si="1"/>
        <v>0</v>
      </c>
      <c r="H16" s="28"/>
      <c r="I16" s="27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>
      <c r="A17" s="10"/>
      <c r="B17" s="25">
        <v>46189.0</v>
      </c>
      <c r="C17" s="30"/>
      <c r="D17" s="30"/>
      <c r="E17" s="30"/>
      <c r="F17" s="31"/>
      <c r="G17" s="27">
        <f t="shared" si="1"/>
        <v>0</v>
      </c>
      <c r="H17" s="28"/>
      <c r="I17" s="30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</row>
    <row r="18">
      <c r="A18" s="10"/>
      <c r="B18" s="25">
        <v>46190.0</v>
      </c>
      <c r="C18" s="30"/>
      <c r="D18" s="30"/>
      <c r="E18" s="30"/>
      <c r="F18" s="30"/>
      <c r="G18" s="27">
        <f t="shared" si="1"/>
        <v>0</v>
      </c>
      <c r="H18" s="28"/>
      <c r="I18" s="30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</row>
    <row r="19">
      <c r="A19" s="10"/>
      <c r="B19" s="25">
        <v>46191.0</v>
      </c>
      <c r="C19" s="30"/>
      <c r="D19" s="30"/>
      <c r="E19" s="30"/>
      <c r="F19" s="30"/>
      <c r="G19" s="27">
        <f t="shared" si="1"/>
        <v>0</v>
      </c>
      <c r="H19" s="28"/>
      <c r="I19" s="30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</row>
    <row r="20">
      <c r="A20" s="10"/>
      <c r="B20" s="25">
        <v>46192.0</v>
      </c>
      <c r="C20" s="30"/>
      <c r="D20" s="30"/>
      <c r="E20" s="31"/>
      <c r="F20" s="30"/>
      <c r="G20" s="27">
        <f t="shared" si="1"/>
        <v>0</v>
      </c>
      <c r="H20" s="28"/>
      <c r="I20" s="30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</row>
    <row r="21">
      <c r="A21" s="10"/>
      <c r="B21" s="25">
        <v>46193.0</v>
      </c>
      <c r="C21" s="30"/>
      <c r="D21" s="30"/>
      <c r="E21" s="30"/>
      <c r="F21" s="30"/>
      <c r="G21" s="27">
        <f t="shared" si="1"/>
        <v>0</v>
      </c>
      <c r="H21" s="28"/>
      <c r="I21" s="30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</row>
    <row r="22" ht="15.75" customHeight="1">
      <c r="A22" s="10"/>
      <c r="B22" s="25">
        <v>46194.0</v>
      </c>
      <c r="C22" s="30"/>
      <c r="D22" s="30"/>
      <c r="E22" s="30"/>
      <c r="F22" s="30"/>
      <c r="G22" s="27">
        <f t="shared" si="1"/>
        <v>0</v>
      </c>
      <c r="H22" s="32" t="s">
        <v>5</v>
      </c>
      <c r="I22" s="27">
        <f>SUM(G16:G22)</f>
        <v>0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</row>
    <row r="23" ht="15.75" customHeight="1">
      <c r="A23" s="33" t="s">
        <v>8</v>
      </c>
      <c r="B23" s="34">
        <v>46195.0</v>
      </c>
      <c r="C23" s="35"/>
      <c r="D23" s="35"/>
      <c r="E23" s="36"/>
      <c r="F23" s="36"/>
      <c r="G23" s="37">
        <f t="shared" si="1"/>
        <v>0</v>
      </c>
      <c r="H23" s="38"/>
      <c r="I23" s="39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15.75" customHeight="1">
      <c r="A24" s="10"/>
      <c r="B24" s="34">
        <v>46196.0</v>
      </c>
      <c r="C24" s="40"/>
      <c r="D24" s="40"/>
      <c r="E24" s="40"/>
      <c r="F24" s="40"/>
      <c r="G24" s="39">
        <f t="shared" si="1"/>
        <v>0</v>
      </c>
      <c r="H24" s="41"/>
      <c r="I24" s="40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ht="15.75" customHeight="1">
      <c r="A25" s="10"/>
      <c r="B25" s="34">
        <v>46197.0</v>
      </c>
      <c r="C25" s="40"/>
      <c r="D25" s="40"/>
      <c r="E25" s="42"/>
      <c r="F25" s="40"/>
      <c r="G25" s="39">
        <f t="shared" si="1"/>
        <v>0</v>
      </c>
      <c r="H25" s="41"/>
      <c r="I25" s="40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ht="15.75" customHeight="1">
      <c r="A26" s="10"/>
      <c r="B26" s="34">
        <v>46198.0</v>
      </c>
      <c r="C26" s="40"/>
      <c r="D26" s="40"/>
      <c r="E26" s="40"/>
      <c r="F26" s="40"/>
      <c r="G26" s="39">
        <f t="shared" si="1"/>
        <v>0</v>
      </c>
      <c r="H26" s="41"/>
      <c r="I26" s="40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</row>
    <row r="27" ht="15.75" customHeight="1">
      <c r="A27" s="10"/>
      <c r="B27" s="34">
        <v>46199.0</v>
      </c>
      <c r="C27" s="40"/>
      <c r="D27" s="40"/>
      <c r="E27" s="40"/>
      <c r="F27" s="40"/>
      <c r="G27" s="39">
        <f t="shared" si="1"/>
        <v>0</v>
      </c>
      <c r="H27" s="41"/>
      <c r="I27" s="40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ht="15.75" customHeight="1">
      <c r="A28" s="10"/>
      <c r="B28" s="34">
        <v>46200.0</v>
      </c>
      <c r="C28" s="40"/>
      <c r="D28" s="40"/>
      <c r="E28" s="40"/>
      <c r="F28" s="40"/>
      <c r="G28" s="39">
        <f t="shared" si="1"/>
        <v>0</v>
      </c>
      <c r="H28" s="41"/>
      <c r="I28" s="40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ht="15.75" customHeight="1">
      <c r="A29" s="10"/>
      <c r="B29" s="34">
        <v>46201.0</v>
      </c>
      <c r="C29" s="40"/>
      <c r="D29" s="40"/>
      <c r="E29" s="40"/>
      <c r="F29" s="40"/>
      <c r="G29" s="39">
        <f t="shared" si="1"/>
        <v>0</v>
      </c>
      <c r="H29" s="43" t="s">
        <v>5</v>
      </c>
      <c r="I29" s="44">
        <f>SUM(G23:G29)</f>
        <v>0</v>
      </c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ht="15.75" customHeight="1">
      <c r="A30" s="45"/>
      <c r="B30" s="45"/>
      <c r="C30" s="45">
        <f t="shared" ref="C30:G30" si="2">SUM(C2:C29)</f>
        <v>122593</v>
      </c>
      <c r="D30" s="45">
        <f t="shared" si="2"/>
        <v>181087</v>
      </c>
      <c r="E30" s="45">
        <f t="shared" si="2"/>
        <v>86897</v>
      </c>
      <c r="F30" s="45">
        <f t="shared" si="2"/>
        <v>122688</v>
      </c>
      <c r="G30" s="45">
        <f t="shared" si="2"/>
        <v>513265</v>
      </c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ht="15.75" customHeight="1">
      <c r="C31" s="46" t="s">
        <v>9</v>
      </c>
      <c r="D31" s="46" t="s">
        <v>10</v>
      </c>
      <c r="E31" s="46" t="s">
        <v>11</v>
      </c>
      <c r="F31" s="46" t="s">
        <v>12</v>
      </c>
      <c r="G31" s="46" t="s">
        <v>13</v>
      </c>
      <c r="I31" s="3"/>
    </row>
    <row r="32" ht="15.75" customHeight="1">
      <c r="C32" s="3"/>
      <c r="D32" s="3"/>
      <c r="E32" s="3"/>
      <c r="F32" s="3"/>
      <c r="G32" s="3"/>
      <c r="I32" s="3"/>
    </row>
    <row r="33" ht="15.75" customHeight="1">
      <c r="C33" s="3"/>
      <c r="D33" s="3"/>
      <c r="E33" s="3"/>
      <c r="F33" s="3"/>
      <c r="G33" s="3"/>
      <c r="I33" s="3"/>
    </row>
    <row r="34" ht="15.75" customHeight="1">
      <c r="C34" s="3"/>
      <c r="D34" s="3"/>
      <c r="E34" s="3"/>
      <c r="F34" s="3"/>
      <c r="G34" s="3"/>
      <c r="I34" s="3"/>
    </row>
    <row r="35" ht="15.75" customHeight="1">
      <c r="C35" s="3"/>
      <c r="D35" s="3"/>
      <c r="E35" s="3"/>
      <c r="F35" s="3"/>
      <c r="G35" s="3"/>
      <c r="I35" s="3"/>
    </row>
    <row r="36" ht="15.75" customHeight="1">
      <c r="C36" s="3"/>
      <c r="D36" s="3"/>
      <c r="E36" s="3"/>
      <c r="F36" s="3"/>
      <c r="G36" s="3"/>
      <c r="I36" s="3"/>
    </row>
    <row r="37" ht="15.75" customHeight="1">
      <c r="C37" s="3"/>
      <c r="D37" s="3"/>
      <c r="E37" s="3"/>
      <c r="F37" s="3"/>
      <c r="G37" s="3"/>
      <c r="I37" s="3"/>
    </row>
    <row r="38" ht="15.75" customHeight="1">
      <c r="C38" s="3"/>
      <c r="D38" s="3"/>
      <c r="E38" s="3"/>
      <c r="F38" s="3"/>
      <c r="G38" s="3"/>
      <c r="I38" s="3"/>
    </row>
    <row r="39" ht="15.75" customHeight="1">
      <c r="C39" s="3"/>
      <c r="D39" s="3"/>
      <c r="E39" s="3"/>
      <c r="F39" s="3"/>
      <c r="G39" s="3"/>
      <c r="I39" s="3"/>
    </row>
    <row r="40" ht="15.75" customHeight="1">
      <c r="C40" s="3"/>
      <c r="D40" s="3"/>
      <c r="E40" s="3"/>
      <c r="F40" s="3"/>
      <c r="G40" s="3"/>
      <c r="I40" s="3"/>
    </row>
    <row r="41" ht="15.75" customHeight="1">
      <c r="C41" s="3"/>
      <c r="D41" s="3"/>
      <c r="E41" s="3"/>
      <c r="F41" s="3"/>
      <c r="G41" s="3"/>
      <c r="I41" s="3"/>
    </row>
    <row r="42" ht="15.75" customHeight="1">
      <c r="C42" s="3"/>
      <c r="D42" s="3"/>
      <c r="E42" s="3"/>
      <c r="F42" s="3"/>
      <c r="G42" s="3"/>
      <c r="I42" s="3"/>
    </row>
    <row r="43" ht="15.75" customHeight="1">
      <c r="C43" s="3"/>
      <c r="D43" s="3"/>
      <c r="E43" s="3"/>
      <c r="F43" s="3"/>
      <c r="G43" s="3"/>
      <c r="I43" s="3"/>
    </row>
    <row r="44" ht="15.75" customHeight="1">
      <c r="C44" s="3"/>
      <c r="D44" s="3"/>
      <c r="E44" s="3"/>
      <c r="F44" s="3"/>
      <c r="G44" s="3"/>
      <c r="I44" s="3"/>
    </row>
    <row r="45" ht="15.75" customHeight="1">
      <c r="C45" s="3"/>
      <c r="D45" s="3"/>
      <c r="E45" s="3"/>
      <c r="F45" s="3"/>
      <c r="G45" s="3"/>
      <c r="I45" s="3"/>
    </row>
    <row r="46" ht="15.75" customHeight="1">
      <c r="C46" s="3"/>
      <c r="D46" s="3"/>
      <c r="E46" s="3"/>
      <c r="F46" s="3"/>
      <c r="G46" s="3"/>
      <c r="I46" s="3"/>
    </row>
    <row r="47" ht="15.75" customHeight="1">
      <c r="C47" s="3"/>
      <c r="D47" s="3"/>
      <c r="E47" s="3"/>
      <c r="F47" s="3"/>
      <c r="G47" s="3"/>
      <c r="I47" s="3"/>
    </row>
    <row r="48" ht="15.75" customHeight="1">
      <c r="C48" s="3"/>
      <c r="D48" s="3"/>
      <c r="E48" s="3"/>
      <c r="F48" s="3"/>
      <c r="G48" s="3"/>
      <c r="I48" s="3"/>
    </row>
    <row r="49" ht="15.75" customHeight="1">
      <c r="C49" s="3"/>
      <c r="D49" s="3"/>
      <c r="E49" s="3"/>
      <c r="F49" s="3"/>
      <c r="G49" s="3"/>
      <c r="I49" s="3"/>
    </row>
    <row r="50" ht="15.75" customHeight="1">
      <c r="C50" s="3"/>
      <c r="D50" s="3"/>
      <c r="E50" s="3"/>
      <c r="F50" s="3"/>
      <c r="G50" s="3"/>
      <c r="I50" s="3"/>
    </row>
    <row r="51" ht="15.75" customHeight="1">
      <c r="C51" s="3"/>
      <c r="D51" s="3"/>
      <c r="E51" s="3"/>
      <c r="F51" s="3"/>
      <c r="G51" s="3"/>
      <c r="I51" s="3"/>
    </row>
    <row r="52" ht="15.75" customHeight="1">
      <c r="C52" s="3"/>
      <c r="D52" s="3"/>
      <c r="E52" s="3"/>
      <c r="F52" s="3"/>
      <c r="G52" s="3"/>
      <c r="I52" s="3"/>
    </row>
    <row r="53" ht="15.75" customHeight="1">
      <c r="C53" s="3"/>
      <c r="D53" s="3"/>
      <c r="E53" s="3"/>
      <c r="F53" s="3"/>
      <c r="G53" s="3"/>
      <c r="I53" s="3"/>
    </row>
    <row r="54" ht="15.75" customHeight="1">
      <c r="C54" s="3"/>
      <c r="D54" s="3"/>
      <c r="E54" s="3"/>
      <c r="F54" s="3"/>
      <c r="G54" s="3"/>
      <c r="I54" s="3"/>
    </row>
    <row r="55" ht="15.75" customHeight="1">
      <c r="C55" s="3"/>
      <c r="D55" s="3"/>
      <c r="E55" s="3"/>
      <c r="F55" s="3"/>
      <c r="G55" s="3"/>
      <c r="I55" s="3"/>
    </row>
    <row r="56" ht="15.75" customHeight="1">
      <c r="C56" s="3"/>
      <c r="D56" s="3"/>
      <c r="E56" s="3"/>
      <c r="F56" s="3"/>
      <c r="G56" s="3"/>
      <c r="I56" s="3"/>
    </row>
    <row r="57" ht="15.75" customHeight="1">
      <c r="C57" s="3"/>
      <c r="D57" s="3"/>
      <c r="E57" s="3"/>
      <c r="F57" s="3"/>
      <c r="G57" s="3"/>
      <c r="I57" s="3"/>
    </row>
    <row r="58" ht="15.75" customHeight="1">
      <c r="C58" s="3"/>
      <c r="D58" s="3"/>
      <c r="E58" s="3"/>
      <c r="F58" s="3"/>
      <c r="G58" s="3"/>
      <c r="I58" s="3"/>
    </row>
    <row r="59" ht="15.75" customHeight="1">
      <c r="C59" s="3"/>
      <c r="D59" s="3"/>
      <c r="E59" s="3"/>
      <c r="F59" s="3"/>
      <c r="G59" s="3"/>
      <c r="I59" s="3"/>
    </row>
    <row r="60" ht="15.75" customHeight="1">
      <c r="C60" s="3"/>
      <c r="D60" s="3"/>
      <c r="E60" s="3"/>
      <c r="F60" s="3"/>
      <c r="G60" s="3"/>
      <c r="I60" s="3"/>
    </row>
    <row r="61" ht="15.75" customHeight="1">
      <c r="C61" s="3"/>
      <c r="D61" s="3"/>
      <c r="E61" s="3"/>
      <c r="F61" s="3"/>
      <c r="G61" s="3"/>
      <c r="I61" s="3"/>
    </row>
    <row r="62" ht="15.75" customHeight="1">
      <c r="C62" s="3"/>
      <c r="D62" s="3"/>
      <c r="E62" s="3"/>
      <c r="F62" s="3"/>
      <c r="G62" s="3"/>
      <c r="I62" s="3"/>
    </row>
    <row r="63" ht="15.75" customHeight="1">
      <c r="C63" s="3"/>
      <c r="D63" s="3"/>
      <c r="E63" s="3"/>
      <c r="F63" s="3"/>
      <c r="G63" s="3"/>
      <c r="I63" s="3"/>
    </row>
    <row r="64" ht="15.75" customHeight="1">
      <c r="C64" s="3"/>
      <c r="D64" s="3"/>
      <c r="E64" s="3"/>
      <c r="F64" s="3"/>
      <c r="G64" s="3"/>
      <c r="I64" s="3"/>
    </row>
    <row r="65" ht="15.75" customHeight="1">
      <c r="C65" s="3"/>
      <c r="D65" s="3"/>
      <c r="E65" s="3"/>
      <c r="F65" s="3"/>
      <c r="G65" s="3"/>
      <c r="I65" s="3"/>
    </row>
    <row r="66" ht="15.75" customHeight="1">
      <c r="C66" s="3"/>
      <c r="D66" s="3"/>
      <c r="E66" s="3"/>
      <c r="F66" s="3"/>
      <c r="G66" s="3"/>
      <c r="I66" s="3"/>
    </row>
    <row r="67" ht="15.75" customHeight="1">
      <c r="C67" s="3"/>
      <c r="D67" s="3"/>
      <c r="E67" s="3"/>
      <c r="F67" s="3"/>
      <c r="G67" s="3"/>
      <c r="I67" s="3"/>
    </row>
    <row r="68" ht="15.75" customHeight="1">
      <c r="C68" s="3"/>
      <c r="D68" s="3"/>
      <c r="E68" s="3"/>
      <c r="F68" s="3"/>
      <c r="G68" s="3"/>
      <c r="I68" s="3"/>
    </row>
    <row r="69" ht="15.75" customHeight="1">
      <c r="C69" s="3"/>
      <c r="D69" s="3"/>
      <c r="E69" s="3"/>
      <c r="F69" s="3"/>
      <c r="G69" s="3"/>
      <c r="I69" s="3"/>
    </row>
    <row r="70" ht="15.75" customHeight="1">
      <c r="C70" s="3"/>
      <c r="D70" s="3"/>
      <c r="E70" s="3"/>
      <c r="F70" s="3"/>
      <c r="G70" s="3"/>
      <c r="I70" s="3"/>
    </row>
    <row r="71" ht="15.75" customHeight="1">
      <c r="C71" s="3"/>
      <c r="D71" s="3"/>
      <c r="E71" s="3"/>
      <c r="F71" s="3"/>
      <c r="G71" s="3"/>
      <c r="I71" s="3"/>
    </row>
    <row r="72" ht="15.75" customHeight="1">
      <c r="C72" s="3"/>
      <c r="D72" s="3"/>
      <c r="E72" s="3"/>
      <c r="F72" s="3"/>
      <c r="G72" s="3"/>
      <c r="I72" s="3"/>
    </row>
    <row r="73" ht="15.75" customHeight="1">
      <c r="C73" s="3"/>
      <c r="D73" s="3"/>
      <c r="E73" s="3"/>
      <c r="F73" s="3"/>
      <c r="G73" s="3"/>
      <c r="I73" s="3"/>
    </row>
    <row r="74" ht="15.75" customHeight="1">
      <c r="C74" s="3"/>
      <c r="D74" s="3"/>
      <c r="E74" s="3"/>
      <c r="F74" s="3"/>
      <c r="G74" s="3"/>
      <c r="I74" s="3"/>
    </row>
    <row r="75" ht="15.75" customHeight="1">
      <c r="C75" s="3"/>
      <c r="D75" s="3"/>
      <c r="E75" s="3"/>
      <c r="F75" s="3"/>
      <c r="G75" s="3"/>
      <c r="I75" s="3"/>
    </row>
    <row r="76" ht="15.75" customHeight="1">
      <c r="C76" s="3"/>
      <c r="D76" s="3"/>
      <c r="E76" s="3"/>
      <c r="F76" s="3"/>
      <c r="G76" s="3"/>
      <c r="I76" s="3"/>
    </row>
    <row r="77" ht="15.75" customHeight="1">
      <c r="C77" s="3"/>
      <c r="D77" s="3"/>
      <c r="E77" s="3"/>
      <c r="F77" s="3"/>
      <c r="G77" s="3"/>
      <c r="I77" s="3"/>
    </row>
    <row r="78" ht="15.75" customHeight="1">
      <c r="C78" s="3"/>
      <c r="D78" s="3"/>
      <c r="E78" s="3"/>
      <c r="F78" s="3"/>
      <c r="G78" s="3"/>
      <c r="I78" s="3"/>
    </row>
    <row r="79" ht="15.75" customHeight="1">
      <c r="C79" s="3"/>
      <c r="D79" s="3"/>
      <c r="E79" s="3"/>
      <c r="F79" s="3"/>
      <c r="G79" s="3"/>
      <c r="I79" s="3"/>
    </row>
    <row r="80" ht="15.75" customHeight="1">
      <c r="C80" s="3"/>
      <c r="D80" s="3"/>
      <c r="E80" s="3"/>
      <c r="F80" s="3"/>
      <c r="G80" s="3"/>
      <c r="I80" s="3"/>
    </row>
    <row r="81" ht="15.75" customHeight="1">
      <c r="C81" s="3"/>
      <c r="D81" s="3"/>
      <c r="E81" s="3"/>
      <c r="F81" s="3"/>
      <c r="G81" s="3"/>
      <c r="I81" s="3"/>
    </row>
    <row r="82" ht="15.75" customHeight="1">
      <c r="C82" s="3"/>
      <c r="D82" s="3"/>
      <c r="E82" s="3"/>
      <c r="F82" s="3"/>
      <c r="G82" s="3"/>
      <c r="I82" s="3"/>
    </row>
    <row r="83" ht="15.75" customHeight="1">
      <c r="C83" s="3"/>
      <c r="D83" s="3"/>
      <c r="E83" s="3"/>
      <c r="F83" s="3"/>
      <c r="G83" s="3"/>
      <c r="I83" s="3"/>
    </row>
    <row r="84" ht="15.75" customHeight="1">
      <c r="C84" s="3"/>
      <c r="D84" s="3"/>
      <c r="E84" s="3"/>
      <c r="F84" s="3"/>
      <c r="G84" s="3"/>
      <c r="I84" s="3"/>
    </row>
    <row r="85" ht="15.75" customHeight="1">
      <c r="C85" s="3"/>
      <c r="D85" s="3"/>
      <c r="E85" s="3"/>
      <c r="F85" s="3"/>
      <c r="G85" s="3"/>
      <c r="I85" s="3"/>
    </row>
    <row r="86" ht="15.75" customHeight="1">
      <c r="C86" s="3"/>
      <c r="D86" s="3"/>
      <c r="E86" s="3"/>
      <c r="F86" s="3"/>
      <c r="G86" s="3"/>
      <c r="I86" s="3"/>
    </row>
    <row r="87" ht="15.75" customHeight="1">
      <c r="C87" s="3"/>
      <c r="D87" s="3"/>
      <c r="E87" s="3"/>
      <c r="F87" s="3"/>
      <c r="G87" s="3"/>
      <c r="I87" s="3"/>
    </row>
    <row r="88" ht="15.75" customHeight="1">
      <c r="C88" s="3"/>
      <c r="D88" s="3"/>
      <c r="E88" s="3"/>
      <c r="F88" s="3"/>
      <c r="G88" s="3"/>
      <c r="I88" s="3"/>
    </row>
    <row r="89" ht="15.75" customHeight="1">
      <c r="C89" s="3"/>
      <c r="D89" s="3"/>
      <c r="E89" s="3"/>
      <c r="F89" s="3"/>
      <c r="G89" s="3"/>
      <c r="I89" s="3"/>
    </row>
    <row r="90" ht="15.75" customHeight="1">
      <c r="C90" s="3"/>
      <c r="D90" s="3"/>
      <c r="E90" s="3"/>
      <c r="F90" s="3"/>
      <c r="G90" s="3"/>
      <c r="I90" s="3"/>
    </row>
    <row r="91" ht="15.75" customHeight="1">
      <c r="C91" s="3"/>
      <c r="D91" s="3"/>
      <c r="E91" s="3"/>
      <c r="F91" s="3"/>
      <c r="G91" s="3"/>
      <c r="I91" s="3"/>
    </row>
    <row r="92" ht="15.75" customHeight="1">
      <c r="C92" s="3"/>
      <c r="D92" s="3"/>
      <c r="E92" s="3"/>
      <c r="F92" s="3"/>
      <c r="G92" s="3"/>
      <c r="I92" s="3"/>
    </row>
    <row r="93" ht="15.75" customHeight="1">
      <c r="C93" s="3"/>
      <c r="D93" s="3"/>
      <c r="E93" s="3"/>
      <c r="F93" s="3"/>
      <c r="G93" s="3"/>
      <c r="I93" s="3"/>
    </row>
    <row r="94" ht="15.75" customHeight="1">
      <c r="C94" s="3"/>
      <c r="D94" s="3"/>
      <c r="E94" s="3"/>
      <c r="F94" s="3"/>
      <c r="G94" s="3"/>
      <c r="I94" s="3"/>
    </row>
    <row r="95" ht="15.75" customHeight="1">
      <c r="C95" s="3"/>
      <c r="D95" s="3"/>
      <c r="E95" s="3"/>
      <c r="F95" s="3"/>
      <c r="G95" s="3"/>
      <c r="I95" s="3"/>
    </row>
    <row r="96" ht="15.75" customHeight="1">
      <c r="C96" s="3"/>
      <c r="D96" s="3"/>
      <c r="E96" s="3"/>
      <c r="F96" s="3"/>
      <c r="G96" s="3"/>
      <c r="I96" s="3"/>
    </row>
    <row r="97" ht="15.75" customHeight="1">
      <c r="C97" s="3"/>
      <c r="D97" s="3"/>
      <c r="E97" s="3"/>
      <c r="F97" s="3"/>
      <c r="G97" s="3"/>
      <c r="I97" s="3"/>
    </row>
    <row r="98" ht="15.75" customHeight="1">
      <c r="C98" s="3"/>
      <c r="D98" s="3"/>
      <c r="E98" s="3"/>
      <c r="F98" s="3"/>
      <c r="G98" s="3"/>
      <c r="I98" s="3"/>
    </row>
    <row r="99" ht="15.75" customHeight="1">
      <c r="C99" s="3"/>
      <c r="D99" s="3"/>
      <c r="E99" s="3"/>
      <c r="F99" s="3"/>
      <c r="G99" s="3"/>
      <c r="I99" s="3"/>
    </row>
    <row r="100" ht="15.75" customHeight="1">
      <c r="C100" s="3"/>
      <c r="D100" s="3"/>
      <c r="E100" s="3"/>
      <c r="F100" s="3"/>
      <c r="G100" s="3"/>
      <c r="I100" s="3"/>
    </row>
    <row r="101" ht="15.75" customHeight="1">
      <c r="C101" s="3"/>
      <c r="D101" s="3"/>
      <c r="E101" s="3"/>
      <c r="F101" s="3"/>
      <c r="G101" s="3"/>
      <c r="I101" s="3"/>
    </row>
    <row r="102" ht="15.75" customHeight="1">
      <c r="C102" s="3"/>
      <c r="D102" s="3"/>
      <c r="E102" s="3"/>
      <c r="F102" s="3"/>
      <c r="G102" s="3"/>
      <c r="I102" s="3"/>
    </row>
    <row r="103" ht="15.75" customHeight="1">
      <c r="C103" s="3"/>
      <c r="D103" s="3"/>
      <c r="E103" s="3"/>
      <c r="F103" s="3"/>
      <c r="G103" s="3"/>
      <c r="I103" s="3"/>
    </row>
    <row r="104" ht="15.75" customHeight="1">
      <c r="C104" s="3"/>
      <c r="D104" s="3"/>
      <c r="E104" s="3"/>
      <c r="F104" s="3"/>
      <c r="G104" s="3"/>
      <c r="I104" s="3"/>
    </row>
    <row r="105" ht="15.75" customHeight="1">
      <c r="C105" s="3"/>
      <c r="D105" s="3"/>
      <c r="E105" s="3"/>
      <c r="F105" s="3"/>
      <c r="G105" s="3"/>
      <c r="I105" s="3"/>
    </row>
    <row r="106" ht="15.75" customHeight="1">
      <c r="C106" s="3"/>
      <c r="D106" s="3"/>
      <c r="E106" s="3"/>
      <c r="F106" s="3"/>
      <c r="G106" s="3"/>
      <c r="I106" s="3"/>
    </row>
    <row r="107" ht="15.75" customHeight="1">
      <c r="C107" s="3"/>
      <c r="D107" s="3"/>
      <c r="E107" s="3"/>
      <c r="F107" s="3"/>
      <c r="G107" s="3"/>
      <c r="I107" s="3"/>
    </row>
    <row r="108" ht="15.75" customHeight="1">
      <c r="C108" s="3"/>
      <c r="D108" s="3"/>
      <c r="E108" s="3"/>
      <c r="F108" s="3"/>
      <c r="G108" s="3"/>
      <c r="I108" s="3"/>
    </row>
    <row r="109" ht="15.75" customHeight="1">
      <c r="C109" s="3"/>
      <c r="D109" s="3"/>
      <c r="E109" s="3"/>
      <c r="F109" s="3"/>
      <c r="G109" s="3"/>
      <c r="I109" s="3"/>
    </row>
    <row r="110" ht="15.75" customHeight="1">
      <c r="C110" s="3"/>
      <c r="D110" s="3"/>
      <c r="E110" s="3"/>
      <c r="F110" s="3"/>
      <c r="G110" s="3"/>
      <c r="I110" s="3"/>
    </row>
    <row r="111" ht="15.75" customHeight="1">
      <c r="C111" s="3"/>
      <c r="D111" s="3"/>
      <c r="E111" s="3"/>
      <c r="F111" s="3"/>
      <c r="G111" s="3"/>
      <c r="I111" s="3"/>
    </row>
    <row r="112" ht="15.75" customHeight="1">
      <c r="C112" s="3"/>
      <c r="D112" s="3"/>
      <c r="E112" s="3"/>
      <c r="F112" s="3"/>
      <c r="G112" s="3"/>
      <c r="I112" s="3"/>
    </row>
    <row r="113" ht="15.75" customHeight="1">
      <c r="C113" s="3"/>
      <c r="D113" s="3"/>
      <c r="E113" s="3"/>
      <c r="F113" s="3"/>
      <c r="G113" s="3"/>
      <c r="I113" s="3"/>
    </row>
    <row r="114" ht="15.75" customHeight="1">
      <c r="C114" s="3"/>
      <c r="D114" s="3"/>
      <c r="E114" s="3"/>
      <c r="F114" s="3"/>
      <c r="G114" s="3"/>
      <c r="I114" s="3"/>
    </row>
    <row r="115" ht="15.75" customHeight="1">
      <c r="C115" s="3"/>
      <c r="D115" s="3"/>
      <c r="E115" s="3"/>
      <c r="F115" s="3"/>
      <c r="G115" s="3"/>
      <c r="I115" s="3"/>
    </row>
    <row r="116" ht="15.75" customHeight="1">
      <c r="C116" s="3"/>
      <c r="D116" s="3"/>
      <c r="E116" s="3"/>
      <c r="F116" s="3"/>
      <c r="G116" s="3"/>
      <c r="I116" s="3"/>
    </row>
    <row r="117" ht="15.75" customHeight="1">
      <c r="C117" s="3"/>
      <c r="D117" s="3"/>
      <c r="E117" s="3"/>
      <c r="F117" s="3"/>
      <c r="G117" s="3"/>
      <c r="I117" s="3"/>
    </row>
    <row r="118" ht="15.75" customHeight="1">
      <c r="C118" s="3"/>
      <c r="D118" s="3"/>
      <c r="E118" s="3"/>
      <c r="F118" s="3"/>
      <c r="G118" s="3"/>
      <c r="I118" s="3"/>
    </row>
    <row r="119" ht="15.75" customHeight="1">
      <c r="C119" s="3"/>
      <c r="D119" s="3"/>
      <c r="E119" s="3"/>
      <c r="F119" s="3"/>
      <c r="G119" s="3"/>
      <c r="I119" s="3"/>
    </row>
    <row r="120" ht="15.75" customHeight="1">
      <c r="C120" s="3"/>
      <c r="D120" s="3"/>
      <c r="E120" s="3"/>
      <c r="F120" s="3"/>
      <c r="G120" s="3"/>
      <c r="I120" s="3"/>
    </row>
    <row r="121" ht="15.75" customHeight="1">
      <c r="C121" s="3"/>
      <c r="D121" s="3"/>
      <c r="E121" s="3"/>
      <c r="F121" s="3"/>
      <c r="G121" s="3"/>
      <c r="I121" s="3"/>
    </row>
    <row r="122" ht="15.75" customHeight="1">
      <c r="C122" s="3"/>
      <c r="D122" s="3"/>
      <c r="E122" s="3"/>
      <c r="F122" s="3"/>
      <c r="G122" s="3"/>
      <c r="I122" s="3"/>
    </row>
    <row r="123" ht="15.75" customHeight="1">
      <c r="C123" s="3"/>
      <c r="D123" s="3"/>
      <c r="E123" s="3"/>
      <c r="F123" s="3"/>
      <c r="G123" s="3"/>
      <c r="I123" s="3"/>
    </row>
    <row r="124" ht="15.75" customHeight="1">
      <c r="C124" s="3"/>
      <c r="D124" s="3"/>
      <c r="E124" s="3"/>
      <c r="F124" s="3"/>
      <c r="G124" s="3"/>
      <c r="I124" s="3"/>
    </row>
    <row r="125" ht="15.75" customHeight="1">
      <c r="C125" s="3"/>
      <c r="D125" s="3"/>
      <c r="E125" s="3"/>
      <c r="F125" s="3"/>
      <c r="G125" s="3"/>
      <c r="I125" s="3"/>
    </row>
    <row r="126" ht="15.75" customHeight="1">
      <c r="C126" s="3"/>
      <c r="D126" s="3"/>
      <c r="E126" s="3"/>
      <c r="F126" s="3"/>
      <c r="G126" s="3"/>
      <c r="I126" s="3"/>
    </row>
    <row r="127" ht="15.75" customHeight="1">
      <c r="C127" s="3"/>
      <c r="D127" s="3"/>
      <c r="E127" s="3"/>
      <c r="F127" s="3"/>
      <c r="G127" s="3"/>
      <c r="I127" s="3"/>
    </row>
    <row r="128" ht="15.75" customHeight="1">
      <c r="C128" s="3"/>
      <c r="D128" s="3"/>
      <c r="E128" s="3"/>
      <c r="F128" s="3"/>
      <c r="G128" s="3"/>
      <c r="I128" s="3"/>
    </row>
    <row r="129" ht="15.75" customHeight="1">
      <c r="C129" s="3"/>
      <c r="D129" s="3"/>
      <c r="E129" s="3"/>
      <c r="F129" s="3"/>
      <c r="G129" s="3"/>
      <c r="I129" s="3"/>
    </row>
    <row r="130" ht="15.75" customHeight="1">
      <c r="C130" s="3"/>
      <c r="D130" s="3"/>
      <c r="E130" s="3"/>
      <c r="F130" s="3"/>
      <c r="G130" s="3"/>
      <c r="I130" s="3"/>
    </row>
    <row r="131" ht="15.75" customHeight="1">
      <c r="C131" s="3"/>
      <c r="D131" s="3"/>
      <c r="E131" s="3"/>
      <c r="F131" s="3"/>
      <c r="G131" s="3"/>
      <c r="I131" s="3"/>
    </row>
    <row r="132" ht="15.75" customHeight="1">
      <c r="C132" s="3"/>
      <c r="D132" s="3"/>
      <c r="E132" s="3"/>
      <c r="F132" s="3"/>
      <c r="G132" s="3"/>
      <c r="I132" s="3"/>
    </row>
    <row r="133" ht="15.75" customHeight="1">
      <c r="C133" s="3"/>
      <c r="D133" s="3"/>
      <c r="E133" s="3"/>
      <c r="F133" s="3"/>
      <c r="G133" s="3"/>
      <c r="I133" s="3"/>
    </row>
    <row r="134" ht="15.75" customHeight="1">
      <c r="C134" s="3"/>
      <c r="D134" s="3"/>
      <c r="E134" s="3"/>
      <c r="F134" s="3"/>
      <c r="G134" s="3"/>
      <c r="I134" s="3"/>
    </row>
    <row r="135" ht="15.75" customHeight="1">
      <c r="C135" s="3"/>
      <c r="D135" s="3"/>
      <c r="E135" s="3"/>
      <c r="F135" s="3"/>
      <c r="G135" s="3"/>
      <c r="I135" s="3"/>
    </row>
    <row r="136" ht="15.75" customHeight="1">
      <c r="C136" s="3"/>
      <c r="D136" s="3"/>
      <c r="E136" s="3"/>
      <c r="F136" s="3"/>
      <c r="G136" s="3"/>
      <c r="I136" s="3"/>
    </row>
    <row r="137" ht="15.75" customHeight="1">
      <c r="C137" s="3"/>
      <c r="D137" s="3"/>
      <c r="E137" s="3"/>
      <c r="F137" s="3"/>
      <c r="G137" s="3"/>
      <c r="I137" s="3"/>
    </row>
    <row r="138" ht="15.75" customHeight="1">
      <c r="C138" s="3"/>
      <c r="D138" s="3"/>
      <c r="E138" s="3"/>
      <c r="F138" s="3"/>
      <c r="G138" s="3"/>
      <c r="I138" s="3"/>
    </row>
    <row r="139" ht="15.75" customHeight="1">
      <c r="C139" s="3"/>
      <c r="D139" s="3"/>
      <c r="E139" s="3"/>
      <c r="F139" s="3"/>
      <c r="G139" s="3"/>
      <c r="I139" s="3"/>
    </row>
    <row r="140" ht="15.75" customHeight="1">
      <c r="C140" s="3"/>
      <c r="D140" s="3"/>
      <c r="E140" s="3"/>
      <c r="F140" s="3"/>
      <c r="G140" s="3"/>
      <c r="I140" s="3"/>
    </row>
    <row r="141" ht="15.75" customHeight="1">
      <c r="C141" s="3"/>
      <c r="D141" s="3"/>
      <c r="E141" s="3"/>
      <c r="F141" s="3"/>
      <c r="G141" s="3"/>
      <c r="I141" s="3"/>
    </row>
    <row r="142" ht="15.75" customHeight="1">
      <c r="C142" s="3"/>
      <c r="D142" s="3"/>
      <c r="E142" s="3"/>
      <c r="F142" s="3"/>
      <c r="G142" s="3"/>
      <c r="I142" s="3"/>
    </row>
    <row r="143" ht="15.75" customHeight="1">
      <c r="C143" s="3"/>
      <c r="D143" s="3"/>
      <c r="E143" s="3"/>
      <c r="F143" s="3"/>
      <c r="G143" s="3"/>
      <c r="I143" s="3"/>
    </row>
    <row r="144" ht="15.75" customHeight="1">
      <c r="C144" s="3"/>
      <c r="D144" s="3"/>
      <c r="E144" s="3"/>
      <c r="F144" s="3"/>
      <c r="G144" s="3"/>
      <c r="I144" s="3"/>
    </row>
    <row r="145" ht="15.75" customHeight="1">
      <c r="C145" s="3"/>
      <c r="D145" s="3"/>
      <c r="E145" s="3"/>
      <c r="F145" s="3"/>
      <c r="G145" s="3"/>
      <c r="I145" s="3"/>
    </row>
    <row r="146" ht="15.75" customHeight="1">
      <c r="C146" s="3"/>
      <c r="D146" s="3"/>
      <c r="E146" s="3"/>
      <c r="F146" s="3"/>
      <c r="G146" s="3"/>
      <c r="I146" s="3"/>
    </row>
    <row r="147" ht="15.75" customHeight="1">
      <c r="C147" s="3"/>
      <c r="D147" s="3"/>
      <c r="E147" s="3"/>
      <c r="F147" s="3"/>
      <c r="G147" s="3"/>
      <c r="I147" s="3"/>
    </row>
    <row r="148" ht="15.75" customHeight="1">
      <c r="C148" s="3"/>
      <c r="D148" s="3"/>
      <c r="E148" s="3"/>
      <c r="F148" s="3"/>
      <c r="G148" s="3"/>
      <c r="I148" s="3"/>
    </row>
    <row r="149" ht="15.75" customHeight="1">
      <c r="C149" s="3"/>
      <c r="D149" s="3"/>
      <c r="E149" s="3"/>
      <c r="F149" s="3"/>
      <c r="G149" s="3"/>
      <c r="I149" s="3"/>
    </row>
    <row r="150" ht="15.75" customHeight="1">
      <c r="C150" s="3"/>
      <c r="D150" s="3"/>
      <c r="E150" s="3"/>
      <c r="F150" s="3"/>
      <c r="G150" s="3"/>
      <c r="I150" s="3"/>
    </row>
    <row r="151" ht="15.75" customHeight="1">
      <c r="C151" s="3"/>
      <c r="D151" s="3"/>
      <c r="E151" s="3"/>
      <c r="F151" s="3"/>
      <c r="G151" s="3"/>
      <c r="I151" s="3"/>
    </row>
    <row r="152" ht="15.75" customHeight="1">
      <c r="C152" s="3"/>
      <c r="D152" s="3"/>
      <c r="E152" s="3"/>
      <c r="F152" s="3"/>
      <c r="G152" s="3"/>
      <c r="I152" s="3"/>
    </row>
    <row r="153" ht="15.75" customHeight="1">
      <c r="C153" s="3"/>
      <c r="D153" s="3"/>
      <c r="E153" s="3"/>
      <c r="F153" s="3"/>
      <c r="G153" s="3"/>
      <c r="I153" s="3"/>
    </row>
    <row r="154" ht="15.75" customHeight="1">
      <c r="C154" s="3"/>
      <c r="D154" s="3"/>
      <c r="E154" s="3"/>
      <c r="F154" s="3"/>
      <c r="G154" s="3"/>
      <c r="I154" s="3"/>
    </row>
    <row r="155" ht="15.75" customHeight="1">
      <c r="C155" s="3"/>
      <c r="D155" s="3"/>
      <c r="E155" s="3"/>
      <c r="F155" s="3"/>
      <c r="G155" s="3"/>
      <c r="I155" s="3"/>
    </row>
    <row r="156" ht="15.75" customHeight="1">
      <c r="C156" s="3"/>
      <c r="D156" s="3"/>
      <c r="E156" s="3"/>
      <c r="F156" s="3"/>
      <c r="G156" s="3"/>
      <c r="I156" s="3"/>
    </row>
    <row r="157" ht="15.75" customHeight="1">
      <c r="C157" s="3"/>
      <c r="D157" s="3"/>
      <c r="E157" s="3"/>
      <c r="F157" s="3"/>
      <c r="G157" s="3"/>
      <c r="I157" s="3"/>
    </row>
    <row r="158" ht="15.75" customHeight="1">
      <c r="C158" s="3"/>
      <c r="D158" s="3"/>
      <c r="E158" s="3"/>
      <c r="F158" s="3"/>
      <c r="G158" s="3"/>
      <c r="I158" s="3"/>
    </row>
    <row r="159" ht="15.75" customHeight="1">
      <c r="C159" s="3"/>
      <c r="D159" s="3"/>
      <c r="E159" s="3"/>
      <c r="F159" s="3"/>
      <c r="G159" s="3"/>
      <c r="I159" s="3"/>
    </row>
    <row r="160" ht="15.75" customHeight="1">
      <c r="C160" s="3"/>
      <c r="D160" s="3"/>
      <c r="E160" s="3"/>
      <c r="F160" s="3"/>
      <c r="G160" s="3"/>
      <c r="I160" s="3"/>
    </row>
    <row r="161" ht="15.75" customHeight="1">
      <c r="C161" s="3"/>
      <c r="D161" s="3"/>
      <c r="E161" s="3"/>
      <c r="F161" s="3"/>
      <c r="G161" s="3"/>
      <c r="I161" s="3"/>
    </row>
    <row r="162" ht="15.75" customHeight="1">
      <c r="C162" s="3"/>
      <c r="D162" s="3"/>
      <c r="E162" s="3"/>
      <c r="F162" s="3"/>
      <c r="G162" s="3"/>
      <c r="I162" s="3"/>
    </row>
    <row r="163" ht="15.75" customHeight="1">
      <c r="C163" s="3"/>
      <c r="D163" s="3"/>
      <c r="E163" s="3"/>
      <c r="F163" s="3"/>
      <c r="G163" s="3"/>
      <c r="I163" s="3"/>
    </row>
    <row r="164" ht="15.75" customHeight="1">
      <c r="C164" s="3"/>
      <c r="D164" s="3"/>
      <c r="E164" s="3"/>
      <c r="F164" s="3"/>
      <c r="G164" s="3"/>
      <c r="I164" s="3"/>
    </row>
    <row r="165" ht="15.75" customHeight="1">
      <c r="C165" s="3"/>
      <c r="D165" s="3"/>
      <c r="E165" s="3"/>
      <c r="F165" s="3"/>
      <c r="G165" s="3"/>
      <c r="I165" s="3"/>
    </row>
    <row r="166" ht="15.75" customHeight="1">
      <c r="C166" s="3"/>
      <c r="D166" s="3"/>
      <c r="E166" s="3"/>
      <c r="F166" s="3"/>
      <c r="G166" s="3"/>
      <c r="I166" s="3"/>
    </row>
    <row r="167" ht="15.75" customHeight="1">
      <c r="C167" s="3"/>
      <c r="D167" s="3"/>
      <c r="E167" s="3"/>
      <c r="F167" s="3"/>
      <c r="G167" s="3"/>
      <c r="I167" s="3"/>
    </row>
    <row r="168" ht="15.75" customHeight="1">
      <c r="C168" s="3"/>
      <c r="D168" s="3"/>
      <c r="E168" s="3"/>
      <c r="F168" s="3"/>
      <c r="G168" s="3"/>
      <c r="I168" s="3"/>
    </row>
    <row r="169" ht="15.75" customHeight="1">
      <c r="C169" s="3"/>
      <c r="D169" s="3"/>
      <c r="E169" s="3"/>
      <c r="F169" s="3"/>
      <c r="G169" s="3"/>
      <c r="I169" s="3"/>
    </row>
    <row r="170" ht="15.75" customHeight="1">
      <c r="C170" s="3"/>
      <c r="D170" s="3"/>
      <c r="E170" s="3"/>
      <c r="F170" s="3"/>
      <c r="G170" s="3"/>
      <c r="I170" s="3"/>
    </row>
    <row r="171" ht="15.75" customHeight="1">
      <c r="C171" s="3"/>
      <c r="D171" s="3"/>
      <c r="E171" s="3"/>
      <c r="F171" s="3"/>
      <c r="G171" s="3"/>
      <c r="I171" s="3"/>
    </row>
    <row r="172" ht="15.75" customHeight="1">
      <c r="C172" s="3"/>
      <c r="D172" s="3"/>
      <c r="E172" s="3"/>
      <c r="F172" s="3"/>
      <c r="G172" s="3"/>
      <c r="I172" s="3"/>
    </row>
    <row r="173" ht="15.75" customHeight="1">
      <c r="C173" s="3"/>
      <c r="D173" s="3"/>
      <c r="E173" s="3"/>
      <c r="F173" s="3"/>
      <c r="G173" s="3"/>
      <c r="I173" s="3"/>
    </row>
    <row r="174" ht="15.75" customHeight="1">
      <c r="C174" s="3"/>
      <c r="D174" s="3"/>
      <c r="E174" s="3"/>
      <c r="F174" s="3"/>
      <c r="G174" s="3"/>
      <c r="I174" s="3"/>
    </row>
    <row r="175" ht="15.75" customHeight="1">
      <c r="C175" s="3"/>
      <c r="D175" s="3"/>
      <c r="E175" s="3"/>
      <c r="F175" s="3"/>
      <c r="G175" s="3"/>
      <c r="I175" s="3"/>
    </row>
    <row r="176" ht="15.75" customHeight="1">
      <c r="C176" s="3"/>
      <c r="D176" s="3"/>
      <c r="E176" s="3"/>
      <c r="F176" s="3"/>
      <c r="G176" s="3"/>
      <c r="I176" s="3"/>
    </row>
    <row r="177" ht="15.75" customHeight="1">
      <c r="C177" s="3"/>
      <c r="D177" s="3"/>
      <c r="E177" s="3"/>
      <c r="F177" s="3"/>
      <c r="G177" s="3"/>
      <c r="I177" s="3"/>
    </row>
    <row r="178" ht="15.75" customHeight="1">
      <c r="C178" s="3"/>
      <c r="D178" s="3"/>
      <c r="E178" s="3"/>
      <c r="F178" s="3"/>
      <c r="G178" s="3"/>
      <c r="I178" s="3"/>
    </row>
    <row r="179" ht="15.75" customHeight="1">
      <c r="C179" s="3"/>
      <c r="D179" s="3"/>
      <c r="E179" s="3"/>
      <c r="F179" s="3"/>
      <c r="G179" s="3"/>
      <c r="I179" s="3"/>
    </row>
    <row r="180" ht="15.75" customHeight="1">
      <c r="C180" s="3"/>
      <c r="D180" s="3"/>
      <c r="E180" s="3"/>
      <c r="F180" s="3"/>
      <c r="G180" s="3"/>
      <c r="I180" s="3"/>
    </row>
    <row r="181" ht="15.75" customHeight="1">
      <c r="C181" s="3"/>
      <c r="D181" s="3"/>
      <c r="E181" s="3"/>
      <c r="F181" s="3"/>
      <c r="G181" s="3"/>
      <c r="I181" s="3"/>
    </row>
    <row r="182" ht="15.75" customHeight="1">
      <c r="C182" s="3"/>
      <c r="D182" s="3"/>
      <c r="E182" s="3"/>
      <c r="F182" s="3"/>
      <c r="G182" s="3"/>
      <c r="I182" s="3"/>
    </row>
    <row r="183" ht="15.75" customHeight="1">
      <c r="C183" s="3"/>
      <c r="D183" s="3"/>
      <c r="E183" s="3"/>
      <c r="F183" s="3"/>
      <c r="G183" s="3"/>
      <c r="I183" s="3"/>
    </row>
    <row r="184" ht="15.75" customHeight="1">
      <c r="C184" s="3"/>
      <c r="D184" s="3"/>
      <c r="E184" s="3"/>
      <c r="F184" s="3"/>
      <c r="G184" s="3"/>
      <c r="I184" s="3"/>
    </row>
    <row r="185" ht="15.75" customHeight="1">
      <c r="C185" s="3"/>
      <c r="D185" s="3"/>
      <c r="E185" s="3"/>
      <c r="F185" s="3"/>
      <c r="G185" s="3"/>
      <c r="I185" s="3"/>
    </row>
    <row r="186" ht="15.75" customHeight="1">
      <c r="C186" s="3"/>
      <c r="D186" s="3"/>
      <c r="E186" s="3"/>
      <c r="F186" s="3"/>
      <c r="G186" s="3"/>
      <c r="I186" s="3"/>
    </row>
    <row r="187" ht="15.75" customHeight="1">
      <c r="C187" s="3"/>
      <c r="D187" s="3"/>
      <c r="E187" s="3"/>
      <c r="F187" s="3"/>
      <c r="G187" s="3"/>
      <c r="I187" s="3"/>
    </row>
    <row r="188" ht="15.75" customHeight="1">
      <c r="C188" s="3"/>
      <c r="D188" s="3"/>
      <c r="E188" s="3"/>
      <c r="F188" s="3"/>
      <c r="G188" s="3"/>
      <c r="I188" s="3"/>
    </row>
    <row r="189" ht="15.75" customHeight="1">
      <c r="C189" s="3"/>
      <c r="D189" s="3"/>
      <c r="E189" s="3"/>
      <c r="F189" s="3"/>
      <c r="G189" s="3"/>
      <c r="I189" s="3"/>
    </row>
    <row r="190" ht="15.75" customHeight="1">
      <c r="C190" s="3"/>
      <c r="D190" s="3"/>
      <c r="E190" s="3"/>
      <c r="F190" s="3"/>
      <c r="G190" s="3"/>
      <c r="I190" s="3"/>
    </row>
    <row r="191" ht="15.75" customHeight="1">
      <c r="C191" s="3"/>
      <c r="D191" s="3"/>
      <c r="E191" s="3"/>
      <c r="F191" s="3"/>
      <c r="G191" s="3"/>
      <c r="I191" s="3"/>
    </row>
    <row r="192" ht="15.75" customHeight="1">
      <c r="C192" s="3"/>
      <c r="D192" s="3"/>
      <c r="E192" s="3"/>
      <c r="F192" s="3"/>
      <c r="G192" s="3"/>
      <c r="I192" s="3"/>
    </row>
    <row r="193" ht="15.75" customHeight="1">
      <c r="C193" s="3"/>
      <c r="D193" s="3"/>
      <c r="E193" s="3"/>
      <c r="F193" s="3"/>
      <c r="G193" s="3"/>
      <c r="I193" s="3"/>
    </row>
    <row r="194" ht="15.75" customHeight="1">
      <c r="C194" s="3"/>
      <c r="D194" s="3"/>
      <c r="E194" s="3"/>
      <c r="F194" s="3"/>
      <c r="G194" s="3"/>
      <c r="I194" s="3"/>
    </row>
    <row r="195" ht="15.75" customHeight="1">
      <c r="C195" s="3"/>
      <c r="D195" s="3"/>
      <c r="E195" s="3"/>
      <c r="F195" s="3"/>
      <c r="G195" s="3"/>
      <c r="I195" s="3"/>
    </row>
    <row r="196" ht="15.75" customHeight="1">
      <c r="C196" s="3"/>
      <c r="D196" s="3"/>
      <c r="E196" s="3"/>
      <c r="F196" s="3"/>
      <c r="G196" s="3"/>
      <c r="I196" s="3"/>
    </row>
    <row r="197" ht="15.75" customHeight="1">
      <c r="C197" s="3"/>
      <c r="D197" s="3"/>
      <c r="E197" s="3"/>
      <c r="F197" s="3"/>
      <c r="G197" s="3"/>
      <c r="I197" s="3"/>
    </row>
    <row r="198" ht="15.75" customHeight="1">
      <c r="C198" s="3"/>
      <c r="D198" s="3"/>
      <c r="E198" s="3"/>
      <c r="F198" s="3"/>
      <c r="G198" s="3"/>
      <c r="I198" s="3"/>
    </row>
    <row r="199" ht="15.75" customHeight="1">
      <c r="C199" s="3"/>
      <c r="D199" s="3"/>
      <c r="E199" s="3"/>
      <c r="F199" s="3"/>
      <c r="G199" s="3"/>
      <c r="I199" s="3"/>
    </row>
    <row r="200" ht="15.75" customHeight="1">
      <c r="C200" s="3"/>
      <c r="D200" s="3"/>
      <c r="E200" s="3"/>
      <c r="F200" s="3"/>
      <c r="G200" s="3"/>
      <c r="I200" s="3"/>
    </row>
    <row r="201" ht="15.75" customHeight="1">
      <c r="C201" s="3"/>
      <c r="D201" s="3"/>
      <c r="E201" s="3"/>
      <c r="F201" s="3"/>
      <c r="G201" s="3"/>
      <c r="I201" s="3"/>
    </row>
    <row r="202" ht="15.75" customHeight="1">
      <c r="C202" s="3"/>
      <c r="D202" s="3"/>
      <c r="E202" s="3"/>
      <c r="F202" s="3"/>
      <c r="G202" s="3"/>
      <c r="I202" s="3"/>
    </row>
    <row r="203" ht="15.75" customHeight="1">
      <c r="C203" s="3"/>
      <c r="D203" s="3"/>
      <c r="E203" s="3"/>
      <c r="F203" s="3"/>
      <c r="G203" s="3"/>
      <c r="I203" s="3"/>
    </row>
    <row r="204" ht="15.75" customHeight="1">
      <c r="C204" s="3"/>
      <c r="D204" s="3"/>
      <c r="E204" s="3"/>
      <c r="F204" s="3"/>
      <c r="G204" s="3"/>
      <c r="I204" s="3"/>
    </row>
    <row r="205" ht="15.75" customHeight="1">
      <c r="C205" s="3"/>
      <c r="D205" s="3"/>
      <c r="E205" s="3"/>
      <c r="F205" s="3"/>
      <c r="G205" s="3"/>
      <c r="I205" s="3"/>
    </row>
    <row r="206" ht="15.75" customHeight="1">
      <c r="C206" s="3"/>
      <c r="D206" s="3"/>
      <c r="E206" s="3"/>
      <c r="F206" s="3"/>
      <c r="G206" s="3"/>
      <c r="I206" s="3"/>
    </row>
    <row r="207" ht="15.75" customHeight="1">
      <c r="C207" s="3"/>
      <c r="D207" s="3"/>
      <c r="E207" s="3"/>
      <c r="F207" s="3"/>
      <c r="G207" s="3"/>
      <c r="I207" s="3"/>
    </row>
    <row r="208" ht="15.75" customHeight="1">
      <c r="C208" s="3"/>
      <c r="D208" s="3"/>
      <c r="E208" s="3"/>
      <c r="F208" s="3"/>
      <c r="G208" s="3"/>
      <c r="I208" s="3"/>
    </row>
    <row r="209" ht="15.75" customHeight="1">
      <c r="C209" s="3"/>
      <c r="D209" s="3"/>
      <c r="E209" s="3"/>
      <c r="F209" s="3"/>
      <c r="G209" s="3"/>
      <c r="I209" s="3"/>
    </row>
    <row r="210" ht="15.75" customHeight="1">
      <c r="C210" s="3"/>
      <c r="D210" s="3"/>
      <c r="E210" s="3"/>
      <c r="F210" s="3"/>
      <c r="G210" s="3"/>
      <c r="I210" s="3"/>
    </row>
    <row r="211" ht="15.75" customHeight="1">
      <c r="C211" s="3"/>
      <c r="D211" s="3"/>
      <c r="E211" s="3"/>
      <c r="F211" s="3"/>
      <c r="G211" s="3"/>
      <c r="I211" s="3"/>
    </row>
    <row r="212" ht="15.75" customHeight="1">
      <c r="C212" s="3"/>
      <c r="D212" s="3"/>
      <c r="E212" s="3"/>
      <c r="F212" s="3"/>
      <c r="G212" s="3"/>
      <c r="I212" s="3"/>
    </row>
    <row r="213" ht="15.75" customHeight="1">
      <c r="C213" s="3"/>
      <c r="D213" s="3"/>
      <c r="E213" s="3"/>
      <c r="F213" s="3"/>
      <c r="G213" s="3"/>
      <c r="I213" s="3"/>
    </row>
    <row r="214" ht="15.75" customHeight="1">
      <c r="C214" s="3"/>
      <c r="D214" s="3"/>
      <c r="E214" s="3"/>
      <c r="F214" s="3"/>
      <c r="G214" s="3"/>
      <c r="I214" s="3"/>
    </row>
    <row r="215" ht="15.75" customHeight="1">
      <c r="C215" s="3"/>
      <c r="D215" s="3"/>
      <c r="E215" s="3"/>
      <c r="F215" s="3"/>
      <c r="G215" s="3"/>
      <c r="I215" s="3"/>
    </row>
    <row r="216" ht="15.75" customHeight="1">
      <c r="C216" s="3"/>
      <c r="D216" s="3"/>
      <c r="E216" s="3"/>
      <c r="F216" s="3"/>
      <c r="G216" s="3"/>
      <c r="I216" s="3"/>
    </row>
    <row r="217" ht="15.75" customHeight="1">
      <c r="C217" s="3"/>
      <c r="D217" s="3"/>
      <c r="E217" s="3"/>
      <c r="F217" s="3"/>
      <c r="G217" s="3"/>
      <c r="I217" s="3"/>
    </row>
    <row r="218" ht="15.75" customHeight="1">
      <c r="C218" s="3"/>
      <c r="D218" s="3"/>
      <c r="E218" s="3"/>
      <c r="F218" s="3"/>
      <c r="G218" s="3"/>
      <c r="I218" s="3"/>
    </row>
    <row r="219" ht="15.75" customHeight="1">
      <c r="C219" s="3"/>
      <c r="D219" s="3"/>
      <c r="E219" s="3"/>
      <c r="F219" s="3"/>
      <c r="G219" s="3"/>
      <c r="I219" s="3"/>
    </row>
    <row r="220" ht="15.75" customHeight="1">
      <c r="C220" s="3"/>
      <c r="D220" s="3"/>
      <c r="E220" s="3"/>
      <c r="F220" s="3"/>
      <c r="G220" s="3"/>
      <c r="I220" s="3"/>
    </row>
    <row r="221" ht="15.75" customHeight="1">
      <c r="C221" s="3"/>
      <c r="D221" s="3"/>
      <c r="E221" s="3"/>
      <c r="F221" s="3"/>
      <c r="G221" s="3"/>
      <c r="I221" s="3"/>
    </row>
    <row r="222" ht="15.75" customHeight="1">
      <c r="C222" s="3"/>
      <c r="D222" s="3"/>
      <c r="E222" s="3"/>
      <c r="F222" s="3"/>
      <c r="G222" s="3"/>
      <c r="I222" s="3"/>
    </row>
    <row r="223" ht="15.75" customHeight="1">
      <c r="C223" s="3"/>
      <c r="D223" s="3"/>
      <c r="E223" s="3"/>
      <c r="F223" s="3"/>
      <c r="G223" s="3"/>
      <c r="I223" s="3"/>
    </row>
    <row r="224" ht="15.75" customHeight="1">
      <c r="C224" s="3"/>
      <c r="D224" s="3"/>
      <c r="E224" s="3"/>
      <c r="F224" s="3"/>
      <c r="G224" s="3"/>
      <c r="I224" s="3"/>
    </row>
    <row r="225" ht="15.75" customHeight="1">
      <c r="C225" s="3"/>
      <c r="D225" s="3"/>
      <c r="E225" s="3"/>
      <c r="F225" s="3"/>
      <c r="G225" s="3"/>
      <c r="I225" s="3"/>
    </row>
    <row r="226" ht="15.75" customHeight="1">
      <c r="C226" s="3"/>
      <c r="D226" s="3"/>
      <c r="E226" s="3"/>
      <c r="F226" s="3"/>
      <c r="G226" s="3"/>
      <c r="I226" s="3"/>
    </row>
    <row r="227" ht="15.75" customHeight="1">
      <c r="C227" s="3"/>
      <c r="D227" s="3"/>
      <c r="E227" s="3"/>
      <c r="F227" s="3"/>
      <c r="G227" s="3"/>
      <c r="I227" s="3"/>
    </row>
    <row r="228" ht="15.75" customHeight="1">
      <c r="C228" s="3"/>
      <c r="D228" s="3"/>
      <c r="E228" s="3"/>
      <c r="F228" s="3"/>
      <c r="G228" s="3"/>
      <c r="I228" s="3"/>
    </row>
    <row r="229" ht="15.75" customHeight="1">
      <c r="C229" s="3"/>
      <c r="D229" s="3"/>
      <c r="E229" s="3"/>
      <c r="F229" s="3"/>
      <c r="G229" s="3"/>
      <c r="I229" s="3"/>
    </row>
    <row r="230" ht="15.75" customHeight="1">
      <c r="C230" s="3"/>
      <c r="D230" s="3"/>
      <c r="E230" s="3"/>
      <c r="F230" s="3"/>
      <c r="G230" s="3"/>
      <c r="I230" s="3"/>
    </row>
    <row r="231" ht="15.75" customHeight="1">
      <c r="C231" s="3"/>
      <c r="D231" s="3"/>
      <c r="E231" s="3"/>
      <c r="F231" s="3"/>
      <c r="G231" s="3"/>
      <c r="I231" s="3"/>
    </row>
    <row r="232" ht="15.75" customHeight="1">
      <c r="C232" s="3"/>
      <c r="D232" s="3"/>
      <c r="E232" s="3"/>
      <c r="F232" s="3"/>
      <c r="G232" s="3"/>
      <c r="I232" s="3"/>
    </row>
    <row r="233" ht="15.75" customHeight="1">
      <c r="C233" s="3"/>
      <c r="D233" s="3"/>
      <c r="E233" s="3"/>
      <c r="F233" s="3"/>
      <c r="G233" s="3"/>
      <c r="I233" s="3"/>
    </row>
    <row r="234" ht="15.75" customHeight="1">
      <c r="C234" s="3"/>
      <c r="D234" s="3"/>
      <c r="E234" s="3"/>
      <c r="F234" s="3"/>
      <c r="G234" s="3"/>
      <c r="I234" s="3"/>
    </row>
    <row r="235" ht="15.75" customHeight="1">
      <c r="C235" s="3"/>
      <c r="D235" s="3"/>
      <c r="E235" s="3"/>
      <c r="F235" s="3"/>
      <c r="G235" s="3"/>
      <c r="I235" s="3"/>
    </row>
    <row r="236" ht="15.75" customHeight="1">
      <c r="C236" s="3"/>
      <c r="D236" s="3"/>
      <c r="E236" s="3"/>
      <c r="F236" s="3"/>
      <c r="G236" s="3"/>
      <c r="I236" s="3"/>
    </row>
    <row r="237" ht="15.75" customHeight="1">
      <c r="C237" s="3"/>
      <c r="D237" s="3"/>
      <c r="E237" s="3"/>
      <c r="F237" s="3"/>
      <c r="G237" s="3"/>
      <c r="I237" s="3"/>
    </row>
    <row r="238" ht="15.75" customHeight="1">
      <c r="C238" s="3"/>
      <c r="D238" s="3"/>
      <c r="E238" s="3"/>
      <c r="F238" s="3"/>
      <c r="G238" s="3"/>
      <c r="I238" s="3"/>
    </row>
    <row r="239" ht="15.75" customHeight="1">
      <c r="C239" s="3"/>
      <c r="D239" s="3"/>
      <c r="E239" s="3"/>
      <c r="F239" s="3"/>
      <c r="G239" s="3"/>
      <c r="I239" s="3"/>
    </row>
    <row r="240" ht="15.75" customHeight="1">
      <c r="C240" s="3"/>
      <c r="D240" s="3"/>
      <c r="E240" s="3"/>
      <c r="F240" s="3"/>
      <c r="G240" s="3"/>
      <c r="I240" s="3"/>
    </row>
    <row r="241" ht="15.75" customHeight="1">
      <c r="C241" s="3"/>
      <c r="D241" s="3"/>
      <c r="E241" s="3"/>
      <c r="F241" s="3"/>
      <c r="G241" s="3"/>
      <c r="I241" s="3"/>
    </row>
    <row r="242" ht="15.75" customHeight="1">
      <c r="C242" s="3"/>
      <c r="D242" s="3"/>
      <c r="E242" s="3"/>
      <c r="F242" s="3"/>
      <c r="G242" s="3"/>
      <c r="I242" s="3"/>
    </row>
    <row r="243" ht="15.75" customHeight="1">
      <c r="C243" s="3"/>
      <c r="D243" s="3"/>
      <c r="E243" s="3"/>
      <c r="F243" s="3"/>
      <c r="G243" s="3"/>
      <c r="I243" s="3"/>
    </row>
    <row r="244" ht="15.75" customHeight="1">
      <c r="C244" s="3"/>
      <c r="D244" s="3"/>
      <c r="E244" s="3"/>
      <c r="F244" s="3"/>
      <c r="G244" s="3"/>
      <c r="I244" s="3"/>
    </row>
    <row r="245" ht="15.75" customHeight="1">
      <c r="C245" s="3"/>
      <c r="D245" s="3"/>
      <c r="E245" s="3"/>
      <c r="F245" s="3"/>
      <c r="G245" s="3"/>
      <c r="I245" s="3"/>
    </row>
    <row r="246" ht="15.75" customHeight="1">
      <c r="C246" s="3"/>
      <c r="D246" s="3"/>
      <c r="E246" s="3"/>
      <c r="F246" s="3"/>
      <c r="G246" s="3"/>
      <c r="I246" s="3"/>
    </row>
    <row r="247" ht="15.75" customHeight="1">
      <c r="C247" s="3"/>
      <c r="D247" s="3"/>
      <c r="E247" s="3"/>
      <c r="F247" s="3"/>
      <c r="G247" s="3"/>
      <c r="I247" s="3"/>
    </row>
    <row r="248" ht="15.75" customHeight="1">
      <c r="C248" s="3"/>
      <c r="D248" s="3"/>
      <c r="E248" s="3"/>
      <c r="F248" s="3"/>
      <c r="G248" s="3"/>
      <c r="I248" s="3"/>
    </row>
    <row r="249" ht="15.75" customHeight="1">
      <c r="C249" s="3"/>
      <c r="D249" s="3"/>
      <c r="E249" s="3"/>
      <c r="F249" s="3"/>
      <c r="G249" s="3"/>
      <c r="I249" s="3"/>
    </row>
    <row r="250" ht="15.75" customHeight="1">
      <c r="C250" s="3"/>
      <c r="D250" s="3"/>
      <c r="E250" s="3"/>
      <c r="F250" s="3"/>
      <c r="G250" s="3"/>
      <c r="I250" s="3"/>
    </row>
    <row r="251" ht="15.75" customHeight="1">
      <c r="C251" s="3"/>
      <c r="D251" s="3"/>
      <c r="E251" s="3"/>
      <c r="F251" s="3"/>
      <c r="G251" s="3"/>
      <c r="I251" s="3"/>
    </row>
    <row r="252" ht="15.75" customHeight="1">
      <c r="C252" s="3"/>
      <c r="D252" s="3"/>
      <c r="E252" s="3"/>
      <c r="F252" s="3"/>
      <c r="G252" s="3"/>
      <c r="I252" s="3"/>
    </row>
    <row r="253" ht="15.75" customHeight="1">
      <c r="C253" s="3"/>
      <c r="D253" s="3"/>
      <c r="E253" s="3"/>
      <c r="F253" s="3"/>
      <c r="G253" s="3"/>
      <c r="I253" s="3"/>
    </row>
    <row r="254" ht="15.75" customHeight="1">
      <c r="C254" s="3"/>
      <c r="D254" s="3"/>
      <c r="E254" s="3"/>
      <c r="F254" s="3"/>
      <c r="G254" s="3"/>
      <c r="I254" s="3"/>
    </row>
    <row r="255" ht="15.75" customHeight="1">
      <c r="C255" s="3"/>
      <c r="D255" s="3"/>
      <c r="E255" s="3"/>
      <c r="F255" s="3"/>
      <c r="G255" s="3"/>
      <c r="I255" s="3"/>
    </row>
    <row r="256" ht="15.75" customHeight="1">
      <c r="C256" s="3"/>
      <c r="D256" s="3"/>
      <c r="E256" s="3"/>
      <c r="F256" s="3"/>
      <c r="G256" s="3"/>
      <c r="I256" s="3"/>
    </row>
    <row r="257" ht="15.75" customHeight="1">
      <c r="C257" s="3"/>
      <c r="D257" s="3"/>
      <c r="E257" s="3"/>
      <c r="F257" s="3"/>
      <c r="G257" s="3"/>
      <c r="I257" s="3"/>
    </row>
    <row r="258" ht="15.75" customHeight="1">
      <c r="C258" s="3"/>
      <c r="D258" s="3"/>
      <c r="E258" s="3"/>
      <c r="F258" s="3"/>
      <c r="G258" s="3"/>
      <c r="I258" s="3"/>
    </row>
    <row r="259" ht="15.75" customHeight="1">
      <c r="C259" s="3"/>
      <c r="D259" s="3"/>
      <c r="E259" s="3"/>
      <c r="F259" s="3"/>
      <c r="G259" s="3"/>
      <c r="I259" s="3"/>
    </row>
    <row r="260" ht="15.75" customHeight="1">
      <c r="C260" s="3"/>
      <c r="D260" s="3"/>
      <c r="E260" s="3"/>
      <c r="F260" s="3"/>
      <c r="G260" s="3"/>
      <c r="I260" s="3"/>
    </row>
    <row r="261" ht="15.75" customHeight="1">
      <c r="C261" s="3"/>
      <c r="D261" s="3"/>
      <c r="E261" s="3"/>
      <c r="F261" s="3"/>
      <c r="G261" s="3"/>
      <c r="I261" s="3"/>
    </row>
    <row r="262" ht="15.75" customHeight="1">
      <c r="C262" s="3"/>
      <c r="D262" s="3"/>
      <c r="E262" s="3"/>
      <c r="F262" s="3"/>
      <c r="G262" s="3"/>
      <c r="I262" s="3"/>
    </row>
    <row r="263" ht="15.75" customHeight="1">
      <c r="C263" s="3"/>
      <c r="D263" s="3"/>
      <c r="E263" s="3"/>
      <c r="F263" s="3"/>
      <c r="G263" s="3"/>
      <c r="I263" s="3"/>
    </row>
    <row r="264" ht="15.75" customHeight="1">
      <c r="C264" s="3"/>
      <c r="D264" s="3"/>
      <c r="E264" s="3"/>
      <c r="F264" s="3"/>
      <c r="G264" s="3"/>
      <c r="I264" s="3"/>
    </row>
    <row r="265" ht="15.75" customHeight="1">
      <c r="C265" s="3"/>
      <c r="D265" s="3"/>
      <c r="E265" s="3"/>
      <c r="F265" s="3"/>
      <c r="G265" s="3"/>
      <c r="I265" s="3"/>
    </row>
    <row r="266" ht="15.75" customHeight="1">
      <c r="C266" s="3"/>
      <c r="D266" s="3"/>
      <c r="E266" s="3"/>
      <c r="F266" s="3"/>
      <c r="G266" s="3"/>
      <c r="I266" s="3"/>
    </row>
    <row r="267" ht="15.75" customHeight="1">
      <c r="C267" s="3"/>
      <c r="D267" s="3"/>
      <c r="E267" s="3"/>
      <c r="F267" s="3"/>
      <c r="G267" s="3"/>
      <c r="I267" s="3"/>
    </row>
    <row r="268" ht="15.75" customHeight="1">
      <c r="C268" s="3"/>
      <c r="D268" s="3"/>
      <c r="E268" s="3"/>
      <c r="F268" s="3"/>
      <c r="G268" s="3"/>
      <c r="I268" s="3"/>
    </row>
    <row r="269" ht="15.75" customHeight="1">
      <c r="C269" s="3"/>
      <c r="D269" s="3"/>
      <c r="E269" s="3"/>
      <c r="F269" s="3"/>
      <c r="G269" s="3"/>
      <c r="I269" s="3"/>
    </row>
    <row r="270" ht="15.75" customHeight="1">
      <c r="C270" s="3"/>
      <c r="D270" s="3"/>
      <c r="E270" s="3"/>
      <c r="F270" s="3"/>
      <c r="G270" s="3"/>
      <c r="I270" s="3"/>
    </row>
    <row r="271" ht="15.75" customHeight="1">
      <c r="C271" s="3"/>
      <c r="D271" s="3"/>
      <c r="E271" s="3"/>
      <c r="F271" s="3"/>
      <c r="G271" s="3"/>
      <c r="I271" s="3"/>
    </row>
    <row r="272" ht="15.75" customHeight="1">
      <c r="C272" s="3"/>
      <c r="D272" s="3"/>
      <c r="E272" s="3"/>
      <c r="F272" s="3"/>
      <c r="G272" s="3"/>
      <c r="I272" s="3"/>
    </row>
    <row r="273" ht="15.75" customHeight="1">
      <c r="C273" s="3"/>
      <c r="D273" s="3"/>
      <c r="E273" s="3"/>
      <c r="F273" s="3"/>
      <c r="G273" s="3"/>
      <c r="I273" s="3"/>
    </row>
    <row r="274" ht="15.75" customHeight="1">
      <c r="C274" s="3"/>
      <c r="D274" s="3"/>
      <c r="E274" s="3"/>
      <c r="F274" s="3"/>
      <c r="G274" s="3"/>
      <c r="I274" s="3"/>
    </row>
    <row r="275" ht="15.75" customHeight="1">
      <c r="C275" s="3"/>
      <c r="D275" s="3"/>
      <c r="E275" s="3"/>
      <c r="F275" s="3"/>
      <c r="G275" s="3"/>
      <c r="I275" s="3"/>
    </row>
    <row r="276" ht="15.75" customHeight="1">
      <c r="C276" s="3"/>
      <c r="D276" s="3"/>
      <c r="E276" s="3"/>
      <c r="F276" s="3"/>
      <c r="G276" s="3"/>
      <c r="I276" s="3"/>
    </row>
    <row r="277" ht="15.75" customHeight="1">
      <c r="C277" s="3"/>
      <c r="D277" s="3"/>
      <c r="E277" s="3"/>
      <c r="F277" s="3"/>
      <c r="G277" s="3"/>
      <c r="I277" s="3"/>
    </row>
    <row r="278" ht="15.75" customHeight="1">
      <c r="C278" s="3"/>
      <c r="D278" s="3"/>
      <c r="E278" s="3"/>
      <c r="F278" s="3"/>
      <c r="G278" s="3"/>
      <c r="I278" s="3"/>
    </row>
    <row r="279" ht="15.75" customHeight="1">
      <c r="C279" s="3"/>
      <c r="D279" s="3"/>
      <c r="E279" s="3"/>
      <c r="F279" s="3"/>
      <c r="G279" s="3"/>
      <c r="I279" s="3"/>
    </row>
    <row r="280" ht="15.75" customHeight="1">
      <c r="C280" s="3"/>
      <c r="D280" s="3"/>
      <c r="E280" s="3"/>
      <c r="F280" s="3"/>
      <c r="G280" s="3"/>
      <c r="I280" s="3"/>
    </row>
    <row r="281" ht="15.75" customHeight="1">
      <c r="C281" s="3"/>
      <c r="D281" s="3"/>
      <c r="E281" s="3"/>
      <c r="F281" s="3"/>
      <c r="G281" s="3"/>
      <c r="I281" s="3"/>
    </row>
    <row r="282" ht="15.75" customHeight="1">
      <c r="C282" s="3"/>
      <c r="D282" s="3"/>
      <c r="E282" s="3"/>
      <c r="F282" s="3"/>
      <c r="G282" s="3"/>
      <c r="I282" s="3"/>
    </row>
    <row r="283" ht="15.75" customHeight="1">
      <c r="C283" s="3"/>
      <c r="D283" s="3"/>
      <c r="E283" s="3"/>
      <c r="F283" s="3"/>
      <c r="G283" s="3"/>
      <c r="I283" s="3"/>
    </row>
    <row r="284" ht="15.75" customHeight="1">
      <c r="C284" s="3"/>
      <c r="D284" s="3"/>
      <c r="E284" s="3"/>
      <c r="F284" s="3"/>
      <c r="G284" s="3"/>
      <c r="I284" s="3"/>
    </row>
    <row r="285" ht="15.75" customHeight="1">
      <c r="C285" s="3"/>
      <c r="D285" s="3"/>
      <c r="E285" s="3"/>
      <c r="F285" s="3"/>
      <c r="G285" s="3"/>
      <c r="I285" s="3"/>
    </row>
    <row r="286" ht="15.75" customHeight="1">
      <c r="C286" s="3"/>
      <c r="D286" s="3"/>
      <c r="E286" s="3"/>
      <c r="F286" s="3"/>
      <c r="G286" s="3"/>
      <c r="I286" s="3"/>
    </row>
    <row r="287" ht="15.75" customHeight="1">
      <c r="C287" s="3"/>
      <c r="D287" s="3"/>
      <c r="E287" s="3"/>
      <c r="F287" s="3"/>
      <c r="G287" s="3"/>
      <c r="I287" s="3"/>
    </row>
    <row r="288" ht="15.75" customHeight="1">
      <c r="C288" s="3"/>
      <c r="D288" s="3"/>
      <c r="E288" s="3"/>
      <c r="F288" s="3"/>
      <c r="G288" s="3"/>
      <c r="I288" s="3"/>
    </row>
    <row r="289" ht="15.75" customHeight="1">
      <c r="C289" s="3"/>
      <c r="D289" s="3"/>
      <c r="E289" s="3"/>
      <c r="F289" s="3"/>
      <c r="G289" s="3"/>
      <c r="I289" s="3"/>
    </row>
    <row r="290" ht="15.75" customHeight="1">
      <c r="C290" s="3"/>
      <c r="D290" s="3"/>
      <c r="E290" s="3"/>
      <c r="F290" s="3"/>
      <c r="G290" s="3"/>
      <c r="I290" s="3"/>
    </row>
    <row r="291" ht="15.75" customHeight="1">
      <c r="C291" s="3"/>
      <c r="D291" s="3"/>
      <c r="E291" s="3"/>
      <c r="F291" s="3"/>
      <c r="G291" s="3"/>
      <c r="I291" s="3"/>
    </row>
    <row r="292" ht="15.75" customHeight="1">
      <c r="C292" s="3"/>
      <c r="D292" s="3"/>
      <c r="E292" s="3"/>
      <c r="F292" s="3"/>
      <c r="G292" s="3"/>
      <c r="I292" s="3"/>
    </row>
    <row r="293" ht="15.75" customHeight="1">
      <c r="C293" s="3"/>
      <c r="D293" s="3"/>
      <c r="E293" s="3"/>
      <c r="F293" s="3"/>
      <c r="G293" s="3"/>
      <c r="I293" s="3"/>
    </row>
    <row r="294" ht="15.75" customHeight="1">
      <c r="C294" s="3"/>
      <c r="D294" s="3"/>
      <c r="E294" s="3"/>
      <c r="F294" s="3"/>
      <c r="G294" s="3"/>
      <c r="I294" s="3"/>
    </row>
    <row r="295" ht="15.75" customHeight="1">
      <c r="C295" s="3"/>
      <c r="D295" s="3"/>
      <c r="E295" s="3"/>
      <c r="F295" s="3"/>
      <c r="G295" s="3"/>
      <c r="I295" s="3"/>
    </row>
    <row r="296" ht="15.75" customHeight="1">
      <c r="C296" s="3"/>
      <c r="D296" s="3"/>
      <c r="E296" s="3"/>
      <c r="F296" s="3"/>
      <c r="G296" s="3"/>
      <c r="I296" s="3"/>
    </row>
    <row r="297" ht="15.75" customHeight="1">
      <c r="C297" s="3"/>
      <c r="D297" s="3"/>
      <c r="E297" s="3"/>
      <c r="F297" s="3"/>
      <c r="G297" s="3"/>
      <c r="I297" s="3"/>
    </row>
    <row r="298" ht="15.75" customHeight="1">
      <c r="C298" s="3"/>
      <c r="D298" s="3"/>
      <c r="E298" s="3"/>
      <c r="F298" s="3"/>
      <c r="G298" s="3"/>
      <c r="I298" s="3"/>
    </row>
    <row r="299" ht="15.75" customHeight="1">
      <c r="C299" s="3"/>
      <c r="D299" s="3"/>
      <c r="E299" s="3"/>
      <c r="F299" s="3"/>
      <c r="G299" s="3"/>
      <c r="I299" s="3"/>
    </row>
    <row r="300" ht="15.75" customHeight="1">
      <c r="C300" s="3"/>
      <c r="D300" s="3"/>
      <c r="E300" s="3"/>
      <c r="F300" s="3"/>
      <c r="G300" s="3"/>
      <c r="I300" s="3"/>
    </row>
    <row r="301" ht="15.75" customHeight="1">
      <c r="C301" s="3"/>
      <c r="D301" s="3"/>
      <c r="E301" s="3"/>
      <c r="F301" s="3"/>
      <c r="G301" s="3"/>
      <c r="I301" s="3"/>
    </row>
    <row r="302" ht="15.75" customHeight="1">
      <c r="C302" s="3"/>
      <c r="D302" s="3"/>
      <c r="E302" s="3"/>
      <c r="F302" s="3"/>
      <c r="G302" s="3"/>
      <c r="I302" s="3"/>
    </row>
    <row r="303" ht="15.75" customHeight="1">
      <c r="C303" s="3"/>
      <c r="D303" s="3"/>
      <c r="E303" s="3"/>
      <c r="F303" s="3"/>
      <c r="G303" s="3"/>
      <c r="I303" s="3"/>
    </row>
    <row r="304" ht="15.75" customHeight="1">
      <c r="C304" s="3"/>
      <c r="D304" s="3"/>
      <c r="E304" s="3"/>
      <c r="F304" s="3"/>
      <c r="G304" s="3"/>
      <c r="I304" s="3"/>
    </row>
    <row r="305" ht="15.75" customHeight="1">
      <c r="C305" s="3"/>
      <c r="D305" s="3"/>
      <c r="E305" s="3"/>
      <c r="F305" s="3"/>
      <c r="G305" s="3"/>
      <c r="I305" s="3"/>
    </row>
    <row r="306" ht="15.75" customHeight="1">
      <c r="C306" s="3"/>
      <c r="D306" s="3"/>
      <c r="E306" s="3"/>
      <c r="F306" s="3"/>
      <c r="G306" s="3"/>
      <c r="I306" s="3"/>
    </row>
    <row r="307" ht="15.75" customHeight="1">
      <c r="C307" s="3"/>
      <c r="D307" s="3"/>
      <c r="E307" s="3"/>
      <c r="F307" s="3"/>
      <c r="G307" s="3"/>
      <c r="I307" s="3"/>
    </row>
    <row r="308" ht="15.75" customHeight="1">
      <c r="C308" s="3"/>
      <c r="D308" s="3"/>
      <c r="E308" s="3"/>
      <c r="F308" s="3"/>
      <c r="G308" s="3"/>
      <c r="I308" s="3"/>
    </row>
    <row r="309" ht="15.75" customHeight="1">
      <c r="C309" s="3"/>
      <c r="D309" s="3"/>
      <c r="E309" s="3"/>
      <c r="F309" s="3"/>
      <c r="G309" s="3"/>
      <c r="I309" s="3"/>
    </row>
    <row r="310" ht="15.75" customHeight="1">
      <c r="C310" s="3"/>
      <c r="D310" s="3"/>
      <c r="E310" s="3"/>
      <c r="F310" s="3"/>
      <c r="G310" s="3"/>
      <c r="I310" s="3"/>
    </row>
    <row r="311" ht="15.75" customHeight="1">
      <c r="C311" s="3"/>
      <c r="D311" s="3"/>
      <c r="E311" s="3"/>
      <c r="F311" s="3"/>
      <c r="G311" s="3"/>
      <c r="I311" s="3"/>
    </row>
    <row r="312" ht="15.75" customHeight="1">
      <c r="C312" s="3"/>
      <c r="D312" s="3"/>
      <c r="E312" s="3"/>
      <c r="F312" s="3"/>
      <c r="G312" s="3"/>
      <c r="I312" s="3"/>
    </row>
    <row r="313" ht="15.75" customHeight="1">
      <c r="C313" s="3"/>
      <c r="D313" s="3"/>
      <c r="E313" s="3"/>
      <c r="F313" s="3"/>
      <c r="G313" s="3"/>
      <c r="I313" s="3"/>
    </row>
    <row r="314" ht="15.75" customHeight="1">
      <c r="C314" s="3"/>
      <c r="D314" s="3"/>
      <c r="E314" s="3"/>
      <c r="F314" s="3"/>
      <c r="G314" s="3"/>
      <c r="I314" s="3"/>
    </row>
    <row r="315" ht="15.75" customHeight="1">
      <c r="C315" s="3"/>
      <c r="D315" s="3"/>
      <c r="E315" s="3"/>
      <c r="F315" s="3"/>
      <c r="G315" s="3"/>
      <c r="I315" s="3"/>
    </row>
    <row r="316" ht="15.75" customHeight="1">
      <c r="C316" s="3"/>
      <c r="D316" s="3"/>
      <c r="E316" s="3"/>
      <c r="F316" s="3"/>
      <c r="G316" s="3"/>
      <c r="I316" s="3"/>
    </row>
    <row r="317" ht="15.75" customHeight="1">
      <c r="C317" s="3"/>
      <c r="D317" s="3"/>
      <c r="E317" s="3"/>
      <c r="F317" s="3"/>
      <c r="G317" s="3"/>
      <c r="I317" s="3"/>
    </row>
    <row r="318" ht="15.75" customHeight="1">
      <c r="C318" s="3"/>
      <c r="D318" s="3"/>
      <c r="E318" s="3"/>
      <c r="F318" s="3"/>
      <c r="G318" s="3"/>
      <c r="I318" s="3"/>
    </row>
    <row r="319" ht="15.75" customHeight="1">
      <c r="C319" s="3"/>
      <c r="D319" s="3"/>
      <c r="E319" s="3"/>
      <c r="F319" s="3"/>
      <c r="G319" s="3"/>
      <c r="I319" s="3"/>
    </row>
    <row r="320" ht="15.75" customHeight="1">
      <c r="C320" s="3"/>
      <c r="D320" s="3"/>
      <c r="E320" s="3"/>
      <c r="F320" s="3"/>
      <c r="G320" s="3"/>
      <c r="I320" s="3"/>
    </row>
    <row r="321" ht="15.75" customHeight="1">
      <c r="C321" s="3"/>
      <c r="D321" s="3"/>
      <c r="E321" s="3"/>
      <c r="F321" s="3"/>
      <c r="G321" s="3"/>
      <c r="I321" s="3"/>
    </row>
    <row r="322" ht="15.75" customHeight="1">
      <c r="C322" s="3"/>
      <c r="D322" s="3"/>
      <c r="E322" s="3"/>
      <c r="F322" s="3"/>
      <c r="G322" s="3"/>
      <c r="I322" s="3"/>
    </row>
    <row r="323" ht="15.75" customHeight="1">
      <c r="C323" s="3"/>
      <c r="D323" s="3"/>
      <c r="E323" s="3"/>
      <c r="F323" s="3"/>
      <c r="G323" s="3"/>
      <c r="I323" s="3"/>
    </row>
    <row r="324" ht="15.75" customHeight="1">
      <c r="C324" s="3"/>
      <c r="D324" s="3"/>
      <c r="E324" s="3"/>
      <c r="F324" s="3"/>
      <c r="G324" s="3"/>
      <c r="I324" s="3"/>
    </row>
    <row r="325" ht="15.75" customHeight="1">
      <c r="C325" s="3"/>
      <c r="D325" s="3"/>
      <c r="E325" s="3"/>
      <c r="F325" s="3"/>
      <c r="G325" s="3"/>
      <c r="I325" s="3"/>
    </row>
    <row r="326" ht="15.75" customHeight="1">
      <c r="C326" s="3"/>
      <c r="D326" s="3"/>
      <c r="E326" s="3"/>
      <c r="F326" s="3"/>
      <c r="G326" s="3"/>
      <c r="I326" s="3"/>
    </row>
    <row r="327" ht="15.75" customHeight="1">
      <c r="C327" s="3"/>
      <c r="D327" s="3"/>
      <c r="E327" s="3"/>
      <c r="F327" s="3"/>
      <c r="G327" s="3"/>
      <c r="I327" s="3"/>
    </row>
    <row r="328" ht="15.75" customHeight="1">
      <c r="C328" s="3"/>
      <c r="D328" s="3"/>
      <c r="E328" s="3"/>
      <c r="F328" s="3"/>
      <c r="G328" s="3"/>
      <c r="I328" s="3"/>
    </row>
    <row r="329" ht="15.75" customHeight="1">
      <c r="C329" s="3"/>
      <c r="D329" s="3"/>
      <c r="E329" s="3"/>
      <c r="F329" s="3"/>
      <c r="G329" s="3"/>
      <c r="I329" s="3"/>
    </row>
    <row r="330" ht="15.75" customHeight="1">
      <c r="C330" s="3"/>
      <c r="D330" s="3"/>
      <c r="E330" s="3"/>
      <c r="F330" s="3"/>
      <c r="G330" s="3"/>
      <c r="I330" s="3"/>
    </row>
    <row r="331" ht="15.75" customHeight="1">
      <c r="C331" s="3"/>
      <c r="D331" s="3"/>
      <c r="E331" s="3"/>
      <c r="F331" s="3"/>
      <c r="G331" s="3"/>
      <c r="I331" s="3"/>
    </row>
    <row r="332" ht="15.75" customHeight="1">
      <c r="C332" s="3"/>
      <c r="D332" s="3"/>
      <c r="E332" s="3"/>
      <c r="F332" s="3"/>
      <c r="G332" s="3"/>
      <c r="I332" s="3"/>
    </row>
    <row r="333" ht="15.75" customHeight="1">
      <c r="C333" s="3"/>
      <c r="D333" s="3"/>
      <c r="E333" s="3"/>
      <c r="F333" s="3"/>
      <c r="G333" s="3"/>
      <c r="I333" s="3"/>
    </row>
    <row r="334" ht="15.75" customHeight="1">
      <c r="C334" s="3"/>
      <c r="D334" s="3"/>
      <c r="E334" s="3"/>
      <c r="F334" s="3"/>
      <c r="G334" s="3"/>
      <c r="I334" s="3"/>
    </row>
    <row r="335" ht="15.75" customHeight="1">
      <c r="C335" s="3"/>
      <c r="D335" s="3"/>
      <c r="E335" s="3"/>
      <c r="F335" s="3"/>
      <c r="G335" s="3"/>
      <c r="I335" s="3"/>
    </row>
    <row r="336" ht="15.75" customHeight="1">
      <c r="C336" s="3"/>
      <c r="D336" s="3"/>
      <c r="E336" s="3"/>
      <c r="F336" s="3"/>
      <c r="G336" s="3"/>
      <c r="I336" s="3"/>
    </row>
    <row r="337" ht="15.75" customHeight="1">
      <c r="C337" s="3"/>
      <c r="D337" s="3"/>
      <c r="E337" s="3"/>
      <c r="F337" s="3"/>
      <c r="G337" s="3"/>
      <c r="I337" s="3"/>
    </row>
    <row r="338" ht="15.75" customHeight="1">
      <c r="C338" s="3"/>
      <c r="D338" s="3"/>
      <c r="E338" s="3"/>
      <c r="F338" s="3"/>
      <c r="G338" s="3"/>
      <c r="I338" s="3"/>
    </row>
    <row r="339" ht="15.75" customHeight="1">
      <c r="C339" s="3"/>
      <c r="D339" s="3"/>
      <c r="E339" s="3"/>
      <c r="F339" s="3"/>
      <c r="G339" s="3"/>
      <c r="I339" s="3"/>
    </row>
    <row r="340" ht="15.75" customHeight="1">
      <c r="C340" s="3"/>
      <c r="D340" s="3"/>
      <c r="E340" s="3"/>
      <c r="F340" s="3"/>
      <c r="G340" s="3"/>
      <c r="I340" s="3"/>
    </row>
    <row r="341" ht="15.75" customHeight="1">
      <c r="C341" s="3"/>
      <c r="D341" s="3"/>
      <c r="E341" s="3"/>
      <c r="F341" s="3"/>
      <c r="G341" s="3"/>
      <c r="I341" s="3"/>
    </row>
    <row r="342" ht="15.75" customHeight="1">
      <c r="C342" s="3"/>
      <c r="D342" s="3"/>
      <c r="E342" s="3"/>
      <c r="F342" s="3"/>
      <c r="G342" s="3"/>
      <c r="I342" s="3"/>
    </row>
    <row r="343" ht="15.75" customHeight="1">
      <c r="C343" s="3"/>
      <c r="D343" s="3"/>
      <c r="E343" s="3"/>
      <c r="F343" s="3"/>
      <c r="G343" s="3"/>
      <c r="I343" s="3"/>
    </row>
    <row r="344" ht="15.75" customHeight="1">
      <c r="C344" s="3"/>
      <c r="D344" s="3"/>
      <c r="E344" s="3"/>
      <c r="F344" s="3"/>
      <c r="G344" s="3"/>
      <c r="I344" s="3"/>
    </row>
    <row r="345" ht="15.75" customHeight="1">
      <c r="C345" s="3"/>
      <c r="D345" s="3"/>
      <c r="E345" s="3"/>
      <c r="F345" s="3"/>
      <c r="G345" s="3"/>
      <c r="I345" s="3"/>
    </row>
    <row r="346" ht="15.75" customHeight="1">
      <c r="C346" s="3"/>
      <c r="D346" s="3"/>
      <c r="E346" s="3"/>
      <c r="F346" s="3"/>
      <c r="G346" s="3"/>
      <c r="I346" s="3"/>
    </row>
    <row r="347" ht="15.75" customHeight="1">
      <c r="C347" s="3"/>
      <c r="D347" s="3"/>
      <c r="E347" s="3"/>
      <c r="F347" s="3"/>
      <c r="G347" s="3"/>
      <c r="I347" s="3"/>
    </row>
    <row r="348" ht="15.75" customHeight="1">
      <c r="C348" s="3"/>
      <c r="D348" s="3"/>
      <c r="E348" s="3"/>
      <c r="F348" s="3"/>
      <c r="G348" s="3"/>
      <c r="I348" s="3"/>
    </row>
    <row r="349" ht="15.75" customHeight="1">
      <c r="C349" s="3"/>
      <c r="D349" s="3"/>
      <c r="E349" s="3"/>
      <c r="F349" s="3"/>
      <c r="G349" s="3"/>
      <c r="I349" s="3"/>
    </row>
    <row r="350" ht="15.75" customHeight="1">
      <c r="C350" s="3"/>
      <c r="D350" s="3"/>
      <c r="E350" s="3"/>
      <c r="F350" s="3"/>
      <c r="G350" s="3"/>
      <c r="I350" s="3"/>
    </row>
    <row r="351" ht="15.75" customHeight="1">
      <c r="C351" s="3"/>
      <c r="D351" s="3"/>
      <c r="E351" s="3"/>
      <c r="F351" s="3"/>
      <c r="G351" s="3"/>
      <c r="I351" s="3"/>
    </row>
    <row r="352" ht="15.75" customHeight="1">
      <c r="C352" s="3"/>
      <c r="D352" s="3"/>
      <c r="E352" s="3"/>
      <c r="F352" s="3"/>
      <c r="G352" s="3"/>
      <c r="I352" s="3"/>
    </row>
    <row r="353" ht="15.75" customHeight="1">
      <c r="C353" s="3"/>
      <c r="D353" s="3"/>
      <c r="E353" s="3"/>
      <c r="F353" s="3"/>
      <c r="G353" s="3"/>
      <c r="I353" s="3"/>
    </row>
    <row r="354" ht="15.75" customHeight="1">
      <c r="C354" s="3"/>
      <c r="D354" s="3"/>
      <c r="E354" s="3"/>
      <c r="F354" s="3"/>
      <c r="G354" s="3"/>
      <c r="I354" s="3"/>
    </row>
    <row r="355" ht="15.75" customHeight="1">
      <c r="C355" s="3"/>
      <c r="D355" s="3"/>
      <c r="E355" s="3"/>
      <c r="F355" s="3"/>
      <c r="G355" s="3"/>
      <c r="I355" s="3"/>
    </row>
    <row r="356" ht="15.75" customHeight="1">
      <c r="C356" s="3"/>
      <c r="D356" s="3"/>
      <c r="E356" s="3"/>
      <c r="F356" s="3"/>
      <c r="G356" s="3"/>
      <c r="I356" s="3"/>
    </row>
    <row r="357" ht="15.75" customHeight="1">
      <c r="C357" s="3"/>
      <c r="D357" s="3"/>
      <c r="E357" s="3"/>
      <c r="F357" s="3"/>
      <c r="G357" s="3"/>
      <c r="I357" s="3"/>
    </row>
    <row r="358" ht="15.75" customHeight="1">
      <c r="C358" s="3"/>
      <c r="D358" s="3"/>
      <c r="E358" s="3"/>
      <c r="F358" s="3"/>
      <c r="G358" s="3"/>
      <c r="I358" s="3"/>
    </row>
    <row r="359" ht="15.75" customHeight="1">
      <c r="C359" s="3"/>
      <c r="D359" s="3"/>
      <c r="E359" s="3"/>
      <c r="F359" s="3"/>
      <c r="G359" s="3"/>
      <c r="I359" s="3"/>
    </row>
    <row r="360" ht="15.75" customHeight="1">
      <c r="C360" s="3"/>
      <c r="D360" s="3"/>
      <c r="E360" s="3"/>
      <c r="F360" s="3"/>
      <c r="G360" s="3"/>
      <c r="I360" s="3"/>
    </row>
    <row r="361" ht="15.75" customHeight="1">
      <c r="C361" s="3"/>
      <c r="D361" s="3"/>
      <c r="E361" s="3"/>
      <c r="F361" s="3"/>
      <c r="G361" s="3"/>
      <c r="I361" s="3"/>
    </row>
    <row r="362" ht="15.75" customHeight="1">
      <c r="C362" s="3"/>
      <c r="D362" s="3"/>
      <c r="E362" s="3"/>
      <c r="F362" s="3"/>
      <c r="G362" s="3"/>
      <c r="I362" s="3"/>
    </row>
    <row r="363" ht="15.75" customHeight="1">
      <c r="C363" s="3"/>
      <c r="D363" s="3"/>
      <c r="E363" s="3"/>
      <c r="F363" s="3"/>
      <c r="G363" s="3"/>
      <c r="I363" s="3"/>
    </row>
    <row r="364" ht="15.75" customHeight="1">
      <c r="C364" s="3"/>
      <c r="D364" s="3"/>
      <c r="E364" s="3"/>
      <c r="F364" s="3"/>
      <c r="G364" s="3"/>
      <c r="I364" s="3"/>
    </row>
    <row r="365" ht="15.75" customHeight="1">
      <c r="C365" s="3"/>
      <c r="D365" s="3"/>
      <c r="E365" s="3"/>
      <c r="F365" s="3"/>
      <c r="G365" s="3"/>
      <c r="I365" s="3"/>
    </row>
    <row r="366" ht="15.75" customHeight="1">
      <c r="C366" s="3"/>
      <c r="D366" s="3"/>
      <c r="E366" s="3"/>
      <c r="F366" s="3"/>
      <c r="G366" s="3"/>
      <c r="I366" s="3"/>
    </row>
    <row r="367" ht="15.75" customHeight="1">
      <c r="C367" s="3"/>
      <c r="D367" s="3"/>
      <c r="E367" s="3"/>
      <c r="F367" s="3"/>
      <c r="G367" s="3"/>
      <c r="I367" s="3"/>
    </row>
    <row r="368" ht="15.75" customHeight="1">
      <c r="C368" s="3"/>
      <c r="D368" s="3"/>
      <c r="E368" s="3"/>
      <c r="F368" s="3"/>
      <c r="G368" s="3"/>
      <c r="I368" s="3"/>
    </row>
    <row r="369" ht="15.75" customHeight="1">
      <c r="C369" s="3"/>
      <c r="D369" s="3"/>
      <c r="E369" s="3"/>
      <c r="F369" s="3"/>
      <c r="G369" s="3"/>
      <c r="I369" s="3"/>
    </row>
    <row r="370" ht="15.75" customHeight="1">
      <c r="C370" s="3"/>
      <c r="D370" s="3"/>
      <c r="E370" s="3"/>
      <c r="F370" s="3"/>
      <c r="G370" s="3"/>
      <c r="I370" s="3"/>
    </row>
    <row r="371" ht="15.75" customHeight="1">
      <c r="C371" s="3"/>
      <c r="D371" s="3"/>
      <c r="E371" s="3"/>
      <c r="F371" s="3"/>
      <c r="G371" s="3"/>
      <c r="I371" s="3"/>
    </row>
    <row r="372" ht="15.75" customHeight="1">
      <c r="C372" s="3"/>
      <c r="D372" s="3"/>
      <c r="E372" s="3"/>
      <c r="F372" s="3"/>
      <c r="G372" s="3"/>
      <c r="I372" s="3"/>
    </row>
    <row r="373" ht="15.75" customHeight="1">
      <c r="C373" s="3"/>
      <c r="D373" s="3"/>
      <c r="E373" s="3"/>
      <c r="F373" s="3"/>
      <c r="G373" s="3"/>
      <c r="I373" s="3"/>
    </row>
    <row r="374" ht="15.75" customHeight="1">
      <c r="C374" s="3"/>
      <c r="D374" s="3"/>
      <c r="E374" s="3"/>
      <c r="F374" s="3"/>
      <c r="G374" s="3"/>
      <c r="I374" s="3"/>
    </row>
    <row r="375" ht="15.75" customHeight="1">
      <c r="C375" s="3"/>
      <c r="D375" s="3"/>
      <c r="E375" s="3"/>
      <c r="F375" s="3"/>
      <c r="G375" s="3"/>
      <c r="I375" s="3"/>
    </row>
    <row r="376" ht="15.75" customHeight="1">
      <c r="C376" s="3"/>
      <c r="D376" s="3"/>
      <c r="E376" s="3"/>
      <c r="F376" s="3"/>
      <c r="G376" s="3"/>
      <c r="I376" s="3"/>
    </row>
    <row r="377" ht="15.75" customHeight="1">
      <c r="C377" s="3"/>
      <c r="D377" s="3"/>
      <c r="E377" s="3"/>
      <c r="F377" s="3"/>
      <c r="G377" s="3"/>
      <c r="I377" s="3"/>
    </row>
    <row r="378" ht="15.75" customHeight="1">
      <c r="C378" s="3"/>
      <c r="D378" s="3"/>
      <c r="E378" s="3"/>
      <c r="F378" s="3"/>
      <c r="G378" s="3"/>
      <c r="I378" s="3"/>
    </row>
    <row r="379" ht="15.75" customHeight="1">
      <c r="C379" s="3"/>
      <c r="D379" s="3"/>
      <c r="E379" s="3"/>
      <c r="F379" s="3"/>
      <c r="G379" s="3"/>
      <c r="I379" s="3"/>
    </row>
    <row r="380" ht="15.75" customHeight="1">
      <c r="C380" s="3"/>
      <c r="D380" s="3"/>
      <c r="E380" s="3"/>
      <c r="F380" s="3"/>
      <c r="G380" s="3"/>
      <c r="I380" s="3"/>
    </row>
    <row r="381" ht="15.75" customHeight="1">
      <c r="C381" s="3"/>
      <c r="D381" s="3"/>
      <c r="E381" s="3"/>
      <c r="F381" s="3"/>
      <c r="G381" s="3"/>
      <c r="I381" s="3"/>
    </row>
    <row r="382" ht="15.75" customHeight="1">
      <c r="C382" s="3"/>
      <c r="D382" s="3"/>
      <c r="E382" s="3"/>
      <c r="F382" s="3"/>
      <c r="G382" s="3"/>
      <c r="I382" s="3"/>
    </row>
    <row r="383" ht="15.75" customHeight="1">
      <c r="C383" s="3"/>
      <c r="D383" s="3"/>
      <c r="E383" s="3"/>
      <c r="F383" s="3"/>
      <c r="G383" s="3"/>
      <c r="I383" s="3"/>
    </row>
    <row r="384" ht="15.75" customHeight="1">
      <c r="C384" s="3"/>
      <c r="D384" s="3"/>
      <c r="E384" s="3"/>
      <c r="F384" s="3"/>
      <c r="G384" s="3"/>
      <c r="I384" s="3"/>
    </row>
    <row r="385" ht="15.75" customHeight="1">
      <c r="C385" s="3"/>
      <c r="D385" s="3"/>
      <c r="E385" s="3"/>
      <c r="F385" s="3"/>
      <c r="G385" s="3"/>
      <c r="I385" s="3"/>
    </row>
    <row r="386" ht="15.75" customHeight="1">
      <c r="C386" s="3"/>
      <c r="D386" s="3"/>
      <c r="E386" s="3"/>
      <c r="F386" s="3"/>
      <c r="G386" s="3"/>
      <c r="I386" s="3"/>
    </row>
    <row r="387" ht="15.75" customHeight="1">
      <c r="C387" s="3"/>
      <c r="D387" s="3"/>
      <c r="E387" s="3"/>
      <c r="F387" s="3"/>
      <c r="G387" s="3"/>
      <c r="I387" s="3"/>
    </row>
    <row r="388" ht="15.75" customHeight="1">
      <c r="C388" s="3"/>
      <c r="D388" s="3"/>
      <c r="E388" s="3"/>
      <c r="F388" s="3"/>
      <c r="G388" s="3"/>
      <c r="I388" s="3"/>
    </row>
    <row r="389" ht="15.75" customHeight="1">
      <c r="C389" s="3"/>
      <c r="D389" s="3"/>
      <c r="E389" s="3"/>
      <c r="F389" s="3"/>
      <c r="G389" s="3"/>
      <c r="I389" s="3"/>
    </row>
    <row r="390" ht="15.75" customHeight="1">
      <c r="C390" s="3"/>
      <c r="D390" s="3"/>
      <c r="E390" s="3"/>
      <c r="F390" s="3"/>
      <c r="G390" s="3"/>
      <c r="I390" s="3"/>
    </row>
    <row r="391" ht="15.75" customHeight="1">
      <c r="C391" s="3"/>
      <c r="D391" s="3"/>
      <c r="E391" s="3"/>
      <c r="F391" s="3"/>
      <c r="G391" s="3"/>
      <c r="I391" s="3"/>
    </row>
    <row r="392" ht="15.75" customHeight="1">
      <c r="C392" s="3"/>
      <c r="D392" s="3"/>
      <c r="E392" s="3"/>
      <c r="F392" s="3"/>
      <c r="G392" s="3"/>
      <c r="I392" s="3"/>
    </row>
    <row r="393" ht="15.75" customHeight="1">
      <c r="C393" s="3"/>
      <c r="D393" s="3"/>
      <c r="E393" s="3"/>
      <c r="F393" s="3"/>
      <c r="G393" s="3"/>
      <c r="I393" s="3"/>
    </row>
    <row r="394" ht="15.75" customHeight="1">
      <c r="C394" s="3"/>
      <c r="D394" s="3"/>
      <c r="E394" s="3"/>
      <c r="F394" s="3"/>
      <c r="G394" s="3"/>
      <c r="I394" s="3"/>
    </row>
    <row r="395" ht="15.75" customHeight="1">
      <c r="C395" s="3"/>
      <c r="D395" s="3"/>
      <c r="E395" s="3"/>
      <c r="F395" s="3"/>
      <c r="G395" s="3"/>
      <c r="I395" s="3"/>
    </row>
    <row r="396" ht="15.75" customHeight="1">
      <c r="C396" s="3"/>
      <c r="D396" s="3"/>
      <c r="E396" s="3"/>
      <c r="F396" s="3"/>
      <c r="G396" s="3"/>
      <c r="I396" s="3"/>
    </row>
    <row r="397" ht="15.75" customHeight="1">
      <c r="C397" s="3"/>
      <c r="D397" s="3"/>
      <c r="E397" s="3"/>
      <c r="F397" s="3"/>
      <c r="G397" s="3"/>
      <c r="I397" s="3"/>
    </row>
    <row r="398" ht="15.75" customHeight="1">
      <c r="C398" s="3"/>
      <c r="D398" s="3"/>
      <c r="E398" s="3"/>
      <c r="F398" s="3"/>
      <c r="G398" s="3"/>
      <c r="I398" s="3"/>
    </row>
    <row r="399" ht="15.75" customHeight="1">
      <c r="C399" s="3"/>
      <c r="D399" s="3"/>
      <c r="E399" s="3"/>
      <c r="F399" s="3"/>
      <c r="G399" s="3"/>
      <c r="I399" s="3"/>
    </row>
    <row r="400" ht="15.75" customHeight="1">
      <c r="C400" s="3"/>
      <c r="D400" s="3"/>
      <c r="E400" s="3"/>
      <c r="F400" s="3"/>
      <c r="G400" s="3"/>
      <c r="I400" s="3"/>
    </row>
    <row r="401" ht="15.75" customHeight="1">
      <c r="C401" s="3"/>
      <c r="D401" s="3"/>
      <c r="E401" s="3"/>
      <c r="F401" s="3"/>
      <c r="G401" s="3"/>
      <c r="I401" s="3"/>
    </row>
    <row r="402" ht="15.75" customHeight="1">
      <c r="C402" s="3"/>
      <c r="D402" s="3"/>
      <c r="E402" s="3"/>
      <c r="F402" s="3"/>
      <c r="G402" s="3"/>
      <c r="I402" s="3"/>
    </row>
    <row r="403" ht="15.75" customHeight="1">
      <c r="C403" s="3"/>
      <c r="D403" s="3"/>
      <c r="E403" s="3"/>
      <c r="F403" s="3"/>
      <c r="G403" s="3"/>
      <c r="I403" s="3"/>
    </row>
    <row r="404" ht="15.75" customHeight="1">
      <c r="C404" s="3"/>
      <c r="D404" s="3"/>
      <c r="E404" s="3"/>
      <c r="F404" s="3"/>
      <c r="G404" s="3"/>
      <c r="I404" s="3"/>
    </row>
    <row r="405" ht="15.75" customHeight="1">
      <c r="C405" s="3"/>
      <c r="D405" s="3"/>
      <c r="E405" s="3"/>
      <c r="F405" s="3"/>
      <c r="G405" s="3"/>
      <c r="I405" s="3"/>
    </row>
    <row r="406" ht="15.75" customHeight="1">
      <c r="C406" s="3"/>
      <c r="D406" s="3"/>
      <c r="E406" s="3"/>
      <c r="F406" s="3"/>
      <c r="G406" s="3"/>
      <c r="I406" s="3"/>
    </row>
    <row r="407" ht="15.75" customHeight="1">
      <c r="C407" s="3"/>
      <c r="D407" s="3"/>
      <c r="E407" s="3"/>
      <c r="F407" s="3"/>
      <c r="G407" s="3"/>
      <c r="I407" s="3"/>
    </row>
    <row r="408" ht="15.75" customHeight="1">
      <c r="C408" s="3"/>
      <c r="D408" s="3"/>
      <c r="E408" s="3"/>
      <c r="F408" s="3"/>
      <c r="G408" s="3"/>
      <c r="I408" s="3"/>
    </row>
    <row r="409" ht="15.75" customHeight="1">
      <c r="C409" s="3"/>
      <c r="D409" s="3"/>
      <c r="E409" s="3"/>
      <c r="F409" s="3"/>
      <c r="G409" s="3"/>
      <c r="I409" s="3"/>
    </row>
    <row r="410" ht="15.75" customHeight="1">
      <c r="C410" s="3"/>
      <c r="D410" s="3"/>
      <c r="E410" s="3"/>
      <c r="F410" s="3"/>
      <c r="G410" s="3"/>
      <c r="I410" s="3"/>
    </row>
    <row r="411" ht="15.75" customHeight="1">
      <c r="C411" s="3"/>
      <c r="D411" s="3"/>
      <c r="E411" s="3"/>
      <c r="F411" s="3"/>
      <c r="G411" s="3"/>
      <c r="I411" s="3"/>
    </row>
    <row r="412" ht="15.75" customHeight="1">
      <c r="C412" s="3"/>
      <c r="D412" s="3"/>
      <c r="E412" s="3"/>
      <c r="F412" s="3"/>
      <c r="G412" s="3"/>
      <c r="I412" s="3"/>
    </row>
    <row r="413" ht="15.75" customHeight="1">
      <c r="C413" s="3"/>
      <c r="D413" s="3"/>
      <c r="E413" s="3"/>
      <c r="F413" s="3"/>
      <c r="G413" s="3"/>
      <c r="I413" s="3"/>
    </row>
    <row r="414" ht="15.75" customHeight="1">
      <c r="C414" s="3"/>
      <c r="D414" s="3"/>
      <c r="E414" s="3"/>
      <c r="F414" s="3"/>
      <c r="G414" s="3"/>
      <c r="I414" s="3"/>
    </row>
    <row r="415" ht="15.75" customHeight="1">
      <c r="C415" s="3"/>
      <c r="D415" s="3"/>
      <c r="E415" s="3"/>
      <c r="F415" s="3"/>
      <c r="G415" s="3"/>
      <c r="I415" s="3"/>
    </row>
    <row r="416" ht="15.75" customHeight="1">
      <c r="C416" s="3"/>
      <c r="D416" s="3"/>
      <c r="E416" s="3"/>
      <c r="F416" s="3"/>
      <c r="G416" s="3"/>
      <c r="I416" s="3"/>
    </row>
    <row r="417" ht="15.75" customHeight="1">
      <c r="C417" s="3"/>
      <c r="D417" s="3"/>
      <c r="E417" s="3"/>
      <c r="F417" s="3"/>
      <c r="G417" s="3"/>
      <c r="I417" s="3"/>
    </row>
    <row r="418" ht="15.75" customHeight="1">
      <c r="C418" s="3"/>
      <c r="D418" s="3"/>
      <c r="E418" s="3"/>
      <c r="F418" s="3"/>
      <c r="G418" s="3"/>
      <c r="I418" s="3"/>
    </row>
    <row r="419" ht="15.75" customHeight="1">
      <c r="C419" s="3"/>
      <c r="D419" s="3"/>
      <c r="E419" s="3"/>
      <c r="F419" s="3"/>
      <c r="G419" s="3"/>
      <c r="I419" s="3"/>
    </row>
    <row r="420" ht="15.75" customHeight="1">
      <c r="C420" s="3"/>
      <c r="D420" s="3"/>
      <c r="E420" s="3"/>
      <c r="F420" s="3"/>
      <c r="G420" s="3"/>
      <c r="I420" s="3"/>
    </row>
    <row r="421" ht="15.75" customHeight="1">
      <c r="C421" s="3"/>
      <c r="D421" s="3"/>
      <c r="E421" s="3"/>
      <c r="F421" s="3"/>
      <c r="G421" s="3"/>
      <c r="I421" s="3"/>
    </row>
    <row r="422" ht="15.75" customHeight="1">
      <c r="C422" s="3"/>
      <c r="D422" s="3"/>
      <c r="E422" s="3"/>
      <c r="F422" s="3"/>
      <c r="G422" s="3"/>
      <c r="I422" s="3"/>
    </row>
    <row r="423" ht="15.75" customHeight="1">
      <c r="C423" s="3"/>
      <c r="D423" s="3"/>
      <c r="E423" s="3"/>
      <c r="F423" s="3"/>
      <c r="G423" s="3"/>
      <c r="I423" s="3"/>
    </row>
    <row r="424" ht="15.75" customHeight="1">
      <c r="C424" s="3"/>
      <c r="D424" s="3"/>
      <c r="E424" s="3"/>
      <c r="F424" s="3"/>
      <c r="G424" s="3"/>
      <c r="I424" s="3"/>
    </row>
    <row r="425" ht="15.75" customHeight="1">
      <c r="C425" s="3"/>
      <c r="D425" s="3"/>
      <c r="E425" s="3"/>
      <c r="F425" s="3"/>
      <c r="G425" s="3"/>
      <c r="I425" s="3"/>
    </row>
    <row r="426" ht="15.75" customHeight="1">
      <c r="C426" s="3"/>
      <c r="D426" s="3"/>
      <c r="E426" s="3"/>
      <c r="F426" s="3"/>
      <c r="G426" s="3"/>
      <c r="I426" s="3"/>
    </row>
    <row r="427" ht="15.75" customHeight="1">
      <c r="C427" s="3"/>
      <c r="D427" s="3"/>
      <c r="E427" s="3"/>
      <c r="F427" s="3"/>
      <c r="G427" s="3"/>
      <c r="I427" s="3"/>
    </row>
    <row r="428" ht="15.75" customHeight="1">
      <c r="C428" s="3"/>
      <c r="D428" s="3"/>
      <c r="E428" s="3"/>
      <c r="F428" s="3"/>
      <c r="G428" s="3"/>
      <c r="I428" s="3"/>
    </row>
    <row r="429" ht="15.75" customHeight="1">
      <c r="C429" s="3"/>
      <c r="D429" s="3"/>
      <c r="E429" s="3"/>
      <c r="F429" s="3"/>
      <c r="G429" s="3"/>
      <c r="I429" s="3"/>
    </row>
    <row r="430" ht="15.75" customHeight="1">
      <c r="C430" s="3"/>
      <c r="D430" s="3"/>
      <c r="E430" s="3"/>
      <c r="F430" s="3"/>
      <c r="G430" s="3"/>
      <c r="I430" s="3"/>
    </row>
    <row r="431" ht="15.75" customHeight="1">
      <c r="C431" s="3"/>
      <c r="D431" s="3"/>
      <c r="E431" s="3"/>
      <c r="F431" s="3"/>
      <c r="G431" s="3"/>
      <c r="I431" s="3"/>
    </row>
    <row r="432" ht="15.75" customHeight="1">
      <c r="C432" s="3"/>
      <c r="D432" s="3"/>
      <c r="E432" s="3"/>
      <c r="F432" s="3"/>
      <c r="G432" s="3"/>
      <c r="I432" s="3"/>
    </row>
    <row r="433" ht="15.75" customHeight="1">
      <c r="C433" s="3"/>
      <c r="D433" s="3"/>
      <c r="E433" s="3"/>
      <c r="F433" s="3"/>
      <c r="G433" s="3"/>
      <c r="I433" s="3"/>
    </row>
    <row r="434" ht="15.75" customHeight="1">
      <c r="C434" s="3"/>
      <c r="D434" s="3"/>
      <c r="E434" s="3"/>
      <c r="F434" s="3"/>
      <c r="G434" s="3"/>
      <c r="I434" s="3"/>
    </row>
    <row r="435" ht="15.75" customHeight="1">
      <c r="C435" s="3"/>
      <c r="D435" s="3"/>
      <c r="E435" s="3"/>
      <c r="F435" s="3"/>
      <c r="G435" s="3"/>
      <c r="I435" s="3"/>
    </row>
    <row r="436" ht="15.75" customHeight="1">
      <c r="C436" s="3"/>
      <c r="D436" s="3"/>
      <c r="E436" s="3"/>
      <c r="F436" s="3"/>
      <c r="G436" s="3"/>
      <c r="I436" s="3"/>
    </row>
    <row r="437" ht="15.75" customHeight="1">
      <c r="C437" s="3"/>
      <c r="D437" s="3"/>
      <c r="E437" s="3"/>
      <c r="F437" s="3"/>
      <c r="G437" s="3"/>
      <c r="I437" s="3"/>
    </row>
    <row r="438" ht="15.75" customHeight="1">
      <c r="C438" s="3"/>
      <c r="D438" s="3"/>
      <c r="E438" s="3"/>
      <c r="F438" s="3"/>
      <c r="G438" s="3"/>
      <c r="I438" s="3"/>
    </row>
    <row r="439" ht="15.75" customHeight="1">
      <c r="C439" s="3"/>
      <c r="D439" s="3"/>
      <c r="E439" s="3"/>
      <c r="F439" s="3"/>
      <c r="G439" s="3"/>
      <c r="I439" s="3"/>
    </row>
    <row r="440" ht="15.75" customHeight="1">
      <c r="C440" s="3"/>
      <c r="D440" s="3"/>
      <c r="E440" s="3"/>
      <c r="F440" s="3"/>
      <c r="G440" s="3"/>
      <c r="I440" s="3"/>
    </row>
    <row r="441" ht="15.75" customHeight="1">
      <c r="C441" s="3"/>
      <c r="D441" s="3"/>
      <c r="E441" s="3"/>
      <c r="F441" s="3"/>
      <c r="G441" s="3"/>
      <c r="I441" s="3"/>
    </row>
    <row r="442" ht="15.75" customHeight="1">
      <c r="C442" s="3"/>
      <c r="D442" s="3"/>
      <c r="E442" s="3"/>
      <c r="F442" s="3"/>
      <c r="G442" s="3"/>
      <c r="I442" s="3"/>
    </row>
    <row r="443" ht="15.75" customHeight="1">
      <c r="C443" s="3"/>
      <c r="D443" s="3"/>
      <c r="E443" s="3"/>
      <c r="F443" s="3"/>
      <c r="G443" s="3"/>
      <c r="I443" s="3"/>
    </row>
    <row r="444" ht="15.75" customHeight="1">
      <c r="C444" s="3"/>
      <c r="D444" s="3"/>
      <c r="E444" s="3"/>
      <c r="F444" s="3"/>
      <c r="G444" s="3"/>
      <c r="I444" s="3"/>
    </row>
    <row r="445" ht="15.75" customHeight="1">
      <c r="C445" s="3"/>
      <c r="D445" s="3"/>
      <c r="E445" s="3"/>
      <c r="F445" s="3"/>
      <c r="G445" s="3"/>
      <c r="I445" s="3"/>
    </row>
    <row r="446" ht="15.75" customHeight="1">
      <c r="C446" s="3"/>
      <c r="D446" s="3"/>
      <c r="E446" s="3"/>
      <c r="F446" s="3"/>
      <c r="G446" s="3"/>
      <c r="I446" s="3"/>
    </row>
    <row r="447" ht="15.75" customHeight="1">
      <c r="C447" s="3"/>
      <c r="D447" s="3"/>
      <c r="E447" s="3"/>
      <c r="F447" s="3"/>
      <c r="G447" s="3"/>
      <c r="I447" s="3"/>
    </row>
    <row r="448" ht="15.75" customHeight="1">
      <c r="C448" s="3"/>
      <c r="D448" s="3"/>
      <c r="E448" s="3"/>
      <c r="F448" s="3"/>
      <c r="G448" s="3"/>
      <c r="I448" s="3"/>
    </row>
    <row r="449" ht="15.75" customHeight="1">
      <c r="C449" s="3"/>
      <c r="D449" s="3"/>
      <c r="E449" s="3"/>
      <c r="F449" s="3"/>
      <c r="G449" s="3"/>
      <c r="I449" s="3"/>
    </row>
    <row r="450" ht="15.75" customHeight="1">
      <c r="C450" s="3"/>
      <c r="D450" s="3"/>
      <c r="E450" s="3"/>
      <c r="F450" s="3"/>
      <c r="G450" s="3"/>
      <c r="I450" s="3"/>
    </row>
    <row r="451" ht="15.75" customHeight="1">
      <c r="C451" s="3"/>
      <c r="D451" s="3"/>
      <c r="E451" s="3"/>
      <c r="F451" s="3"/>
      <c r="G451" s="3"/>
      <c r="I451" s="3"/>
    </row>
    <row r="452" ht="15.75" customHeight="1">
      <c r="C452" s="3"/>
      <c r="D452" s="3"/>
      <c r="E452" s="3"/>
      <c r="F452" s="3"/>
      <c r="G452" s="3"/>
      <c r="I452" s="3"/>
    </row>
    <row r="453" ht="15.75" customHeight="1">
      <c r="C453" s="3"/>
      <c r="D453" s="3"/>
      <c r="E453" s="3"/>
      <c r="F453" s="3"/>
      <c r="G453" s="3"/>
      <c r="I453" s="3"/>
    </row>
    <row r="454" ht="15.75" customHeight="1">
      <c r="C454" s="3"/>
      <c r="D454" s="3"/>
      <c r="E454" s="3"/>
      <c r="F454" s="3"/>
      <c r="G454" s="3"/>
      <c r="I454" s="3"/>
    </row>
    <row r="455" ht="15.75" customHeight="1">
      <c r="C455" s="3"/>
      <c r="D455" s="3"/>
      <c r="E455" s="3"/>
      <c r="F455" s="3"/>
      <c r="G455" s="3"/>
      <c r="I455" s="3"/>
    </row>
    <row r="456" ht="15.75" customHeight="1">
      <c r="C456" s="3"/>
      <c r="D456" s="3"/>
      <c r="E456" s="3"/>
      <c r="F456" s="3"/>
      <c r="G456" s="3"/>
      <c r="I456" s="3"/>
    </row>
    <row r="457" ht="15.75" customHeight="1">
      <c r="C457" s="3"/>
      <c r="D457" s="3"/>
      <c r="E457" s="3"/>
      <c r="F457" s="3"/>
      <c r="G457" s="3"/>
      <c r="I457" s="3"/>
    </row>
    <row r="458" ht="15.75" customHeight="1">
      <c r="C458" s="3"/>
      <c r="D458" s="3"/>
      <c r="E458" s="3"/>
      <c r="F458" s="3"/>
      <c r="G458" s="3"/>
      <c r="I458" s="3"/>
    </row>
    <row r="459" ht="15.75" customHeight="1">
      <c r="C459" s="3"/>
      <c r="D459" s="3"/>
      <c r="E459" s="3"/>
      <c r="F459" s="3"/>
      <c r="G459" s="3"/>
      <c r="I459" s="3"/>
    </row>
    <row r="460" ht="15.75" customHeight="1">
      <c r="C460" s="3"/>
      <c r="D460" s="3"/>
      <c r="E460" s="3"/>
      <c r="F460" s="3"/>
      <c r="G460" s="3"/>
      <c r="I460" s="3"/>
    </row>
    <row r="461" ht="15.75" customHeight="1">
      <c r="C461" s="3"/>
      <c r="D461" s="3"/>
      <c r="E461" s="3"/>
      <c r="F461" s="3"/>
      <c r="G461" s="3"/>
      <c r="I461" s="3"/>
    </row>
    <row r="462" ht="15.75" customHeight="1">
      <c r="C462" s="3"/>
      <c r="D462" s="3"/>
      <c r="E462" s="3"/>
      <c r="F462" s="3"/>
      <c r="G462" s="3"/>
      <c r="I462" s="3"/>
    </row>
    <row r="463" ht="15.75" customHeight="1">
      <c r="C463" s="3"/>
      <c r="D463" s="3"/>
      <c r="E463" s="3"/>
      <c r="F463" s="3"/>
      <c r="G463" s="3"/>
      <c r="I463" s="3"/>
    </row>
    <row r="464" ht="15.75" customHeight="1">
      <c r="C464" s="3"/>
      <c r="D464" s="3"/>
      <c r="E464" s="3"/>
      <c r="F464" s="3"/>
      <c r="G464" s="3"/>
      <c r="I464" s="3"/>
    </row>
    <row r="465" ht="15.75" customHeight="1">
      <c r="C465" s="3"/>
      <c r="D465" s="3"/>
      <c r="E465" s="3"/>
      <c r="F465" s="3"/>
      <c r="G465" s="3"/>
      <c r="I465" s="3"/>
    </row>
    <row r="466" ht="15.75" customHeight="1">
      <c r="C466" s="3"/>
      <c r="D466" s="3"/>
      <c r="E466" s="3"/>
      <c r="F466" s="3"/>
      <c r="G466" s="3"/>
      <c r="I466" s="3"/>
    </row>
    <row r="467" ht="15.75" customHeight="1">
      <c r="C467" s="3"/>
      <c r="D467" s="3"/>
      <c r="E467" s="3"/>
      <c r="F467" s="3"/>
      <c r="G467" s="3"/>
      <c r="I467" s="3"/>
    </row>
    <row r="468" ht="15.75" customHeight="1">
      <c r="C468" s="3"/>
      <c r="D468" s="3"/>
      <c r="E468" s="3"/>
      <c r="F468" s="3"/>
      <c r="G468" s="3"/>
      <c r="I468" s="3"/>
    </row>
    <row r="469" ht="15.75" customHeight="1">
      <c r="C469" s="3"/>
      <c r="D469" s="3"/>
      <c r="E469" s="3"/>
      <c r="F469" s="3"/>
      <c r="G469" s="3"/>
      <c r="I469" s="3"/>
    </row>
    <row r="470" ht="15.75" customHeight="1">
      <c r="C470" s="3"/>
      <c r="D470" s="3"/>
      <c r="E470" s="3"/>
      <c r="F470" s="3"/>
      <c r="G470" s="3"/>
      <c r="I470" s="3"/>
    </row>
    <row r="471" ht="15.75" customHeight="1">
      <c r="C471" s="3"/>
      <c r="D471" s="3"/>
      <c r="E471" s="3"/>
      <c r="F471" s="3"/>
      <c r="G471" s="3"/>
      <c r="I471" s="3"/>
    </row>
    <row r="472" ht="15.75" customHeight="1">
      <c r="C472" s="3"/>
      <c r="D472" s="3"/>
      <c r="E472" s="3"/>
      <c r="F472" s="3"/>
      <c r="G472" s="3"/>
      <c r="I472" s="3"/>
    </row>
    <row r="473" ht="15.75" customHeight="1">
      <c r="C473" s="3"/>
      <c r="D473" s="3"/>
      <c r="E473" s="3"/>
      <c r="F473" s="3"/>
      <c r="G473" s="3"/>
      <c r="I473" s="3"/>
    </row>
    <row r="474" ht="15.75" customHeight="1">
      <c r="C474" s="3"/>
      <c r="D474" s="3"/>
      <c r="E474" s="3"/>
      <c r="F474" s="3"/>
      <c r="G474" s="3"/>
      <c r="I474" s="3"/>
    </row>
    <row r="475" ht="15.75" customHeight="1">
      <c r="C475" s="3"/>
      <c r="D475" s="3"/>
      <c r="E475" s="3"/>
      <c r="F475" s="3"/>
      <c r="G475" s="3"/>
      <c r="I475" s="3"/>
    </row>
    <row r="476" ht="15.75" customHeight="1">
      <c r="C476" s="3"/>
      <c r="D476" s="3"/>
      <c r="E476" s="3"/>
      <c r="F476" s="3"/>
      <c r="G476" s="3"/>
      <c r="I476" s="3"/>
    </row>
    <row r="477" ht="15.75" customHeight="1">
      <c r="C477" s="3"/>
      <c r="D477" s="3"/>
      <c r="E477" s="3"/>
      <c r="F477" s="3"/>
      <c r="G477" s="3"/>
      <c r="I477" s="3"/>
    </row>
    <row r="478" ht="15.75" customHeight="1">
      <c r="C478" s="3"/>
      <c r="D478" s="3"/>
      <c r="E478" s="3"/>
      <c r="F478" s="3"/>
      <c r="G478" s="3"/>
      <c r="I478" s="3"/>
    </row>
    <row r="479" ht="15.75" customHeight="1">
      <c r="C479" s="3"/>
      <c r="D479" s="3"/>
      <c r="E479" s="3"/>
      <c r="F479" s="3"/>
      <c r="G479" s="3"/>
      <c r="I479" s="3"/>
    </row>
    <row r="480" ht="15.75" customHeight="1">
      <c r="C480" s="3"/>
      <c r="D480" s="3"/>
      <c r="E480" s="3"/>
      <c r="F480" s="3"/>
      <c r="G480" s="3"/>
      <c r="I480" s="3"/>
    </row>
    <row r="481" ht="15.75" customHeight="1">
      <c r="C481" s="3"/>
      <c r="D481" s="3"/>
      <c r="E481" s="3"/>
      <c r="F481" s="3"/>
      <c r="G481" s="3"/>
      <c r="I481" s="3"/>
    </row>
    <row r="482" ht="15.75" customHeight="1">
      <c r="C482" s="3"/>
      <c r="D482" s="3"/>
      <c r="E482" s="3"/>
      <c r="F482" s="3"/>
      <c r="G482" s="3"/>
      <c r="I482" s="3"/>
    </row>
    <row r="483" ht="15.75" customHeight="1">
      <c r="C483" s="3"/>
      <c r="D483" s="3"/>
      <c r="E483" s="3"/>
      <c r="F483" s="3"/>
      <c r="G483" s="3"/>
      <c r="I483" s="3"/>
    </row>
    <row r="484" ht="15.75" customHeight="1">
      <c r="C484" s="3"/>
      <c r="D484" s="3"/>
      <c r="E484" s="3"/>
      <c r="F484" s="3"/>
      <c r="G484" s="3"/>
      <c r="I484" s="3"/>
    </row>
    <row r="485" ht="15.75" customHeight="1">
      <c r="C485" s="3"/>
      <c r="D485" s="3"/>
      <c r="E485" s="3"/>
      <c r="F485" s="3"/>
      <c r="G485" s="3"/>
      <c r="I485" s="3"/>
    </row>
    <row r="486" ht="15.75" customHeight="1">
      <c r="C486" s="3"/>
      <c r="D486" s="3"/>
      <c r="E486" s="3"/>
      <c r="F486" s="3"/>
      <c r="G486" s="3"/>
      <c r="I486" s="3"/>
    </row>
    <row r="487" ht="15.75" customHeight="1">
      <c r="C487" s="3"/>
      <c r="D487" s="3"/>
      <c r="E487" s="3"/>
      <c r="F487" s="3"/>
      <c r="G487" s="3"/>
      <c r="I487" s="3"/>
    </row>
    <row r="488" ht="15.75" customHeight="1">
      <c r="C488" s="3"/>
      <c r="D488" s="3"/>
      <c r="E488" s="3"/>
      <c r="F488" s="3"/>
      <c r="G488" s="3"/>
      <c r="I488" s="3"/>
    </row>
    <row r="489" ht="15.75" customHeight="1">
      <c r="C489" s="3"/>
      <c r="D489" s="3"/>
      <c r="E489" s="3"/>
      <c r="F489" s="3"/>
      <c r="G489" s="3"/>
      <c r="I489" s="3"/>
    </row>
    <row r="490" ht="15.75" customHeight="1">
      <c r="C490" s="3"/>
      <c r="D490" s="3"/>
      <c r="E490" s="3"/>
      <c r="F490" s="3"/>
      <c r="G490" s="3"/>
      <c r="I490" s="3"/>
    </row>
    <row r="491" ht="15.75" customHeight="1">
      <c r="C491" s="3"/>
      <c r="D491" s="3"/>
      <c r="E491" s="3"/>
      <c r="F491" s="3"/>
      <c r="G491" s="3"/>
      <c r="I491" s="3"/>
    </row>
    <row r="492" ht="15.75" customHeight="1">
      <c r="C492" s="3"/>
      <c r="D492" s="3"/>
      <c r="E492" s="3"/>
      <c r="F492" s="3"/>
      <c r="G492" s="3"/>
      <c r="I492" s="3"/>
    </row>
    <row r="493" ht="15.75" customHeight="1">
      <c r="C493" s="3"/>
      <c r="D493" s="3"/>
      <c r="E493" s="3"/>
      <c r="F493" s="3"/>
      <c r="G493" s="3"/>
      <c r="I493" s="3"/>
    </row>
    <row r="494" ht="15.75" customHeight="1">
      <c r="C494" s="3"/>
      <c r="D494" s="3"/>
      <c r="E494" s="3"/>
      <c r="F494" s="3"/>
      <c r="G494" s="3"/>
      <c r="I494" s="3"/>
    </row>
    <row r="495" ht="15.75" customHeight="1">
      <c r="C495" s="3"/>
      <c r="D495" s="3"/>
      <c r="E495" s="3"/>
      <c r="F495" s="3"/>
      <c r="G495" s="3"/>
      <c r="I495" s="3"/>
    </row>
    <row r="496" ht="15.75" customHeight="1">
      <c r="C496" s="3"/>
      <c r="D496" s="3"/>
      <c r="E496" s="3"/>
      <c r="F496" s="3"/>
      <c r="G496" s="3"/>
      <c r="I496" s="3"/>
    </row>
    <row r="497" ht="15.75" customHeight="1">
      <c r="C497" s="3"/>
      <c r="D497" s="3"/>
      <c r="E497" s="3"/>
      <c r="F497" s="3"/>
      <c r="G497" s="3"/>
      <c r="I497" s="3"/>
    </row>
    <row r="498" ht="15.75" customHeight="1">
      <c r="C498" s="3"/>
      <c r="D498" s="3"/>
      <c r="E498" s="3"/>
      <c r="F498" s="3"/>
      <c r="G498" s="3"/>
      <c r="I498" s="3"/>
    </row>
    <row r="499" ht="15.75" customHeight="1">
      <c r="C499" s="3"/>
      <c r="D499" s="3"/>
      <c r="E499" s="3"/>
      <c r="F499" s="3"/>
      <c r="G499" s="3"/>
      <c r="I499" s="3"/>
    </row>
    <row r="500" ht="15.75" customHeight="1">
      <c r="C500" s="3"/>
      <c r="D500" s="3"/>
      <c r="E500" s="3"/>
      <c r="F500" s="3"/>
      <c r="G500" s="3"/>
      <c r="I500" s="3"/>
    </row>
    <row r="501" ht="15.75" customHeight="1">
      <c r="C501" s="3"/>
      <c r="D501" s="3"/>
      <c r="E501" s="3"/>
      <c r="F501" s="3"/>
      <c r="G501" s="3"/>
      <c r="I501" s="3"/>
    </row>
    <row r="502" ht="15.75" customHeight="1">
      <c r="C502" s="3"/>
      <c r="D502" s="3"/>
      <c r="E502" s="3"/>
      <c r="F502" s="3"/>
      <c r="G502" s="3"/>
      <c r="I502" s="3"/>
    </row>
    <row r="503" ht="15.75" customHeight="1">
      <c r="C503" s="3"/>
      <c r="D503" s="3"/>
      <c r="E503" s="3"/>
      <c r="F503" s="3"/>
      <c r="G503" s="3"/>
      <c r="I503" s="3"/>
    </row>
    <row r="504" ht="15.75" customHeight="1">
      <c r="C504" s="3"/>
      <c r="D504" s="3"/>
      <c r="E504" s="3"/>
      <c r="F504" s="3"/>
      <c r="G504" s="3"/>
      <c r="I504" s="3"/>
    </row>
    <row r="505" ht="15.75" customHeight="1">
      <c r="C505" s="3"/>
      <c r="D505" s="3"/>
      <c r="E505" s="3"/>
      <c r="F505" s="3"/>
      <c r="G505" s="3"/>
      <c r="I505" s="3"/>
    </row>
    <row r="506" ht="15.75" customHeight="1">
      <c r="C506" s="3"/>
      <c r="D506" s="3"/>
      <c r="E506" s="3"/>
      <c r="F506" s="3"/>
      <c r="G506" s="3"/>
      <c r="I506" s="3"/>
    </row>
    <row r="507" ht="15.75" customHeight="1">
      <c r="C507" s="3"/>
      <c r="D507" s="3"/>
      <c r="E507" s="3"/>
      <c r="F507" s="3"/>
      <c r="G507" s="3"/>
      <c r="I507" s="3"/>
    </row>
    <row r="508" ht="15.75" customHeight="1">
      <c r="C508" s="3"/>
      <c r="D508" s="3"/>
      <c r="E508" s="3"/>
      <c r="F508" s="3"/>
      <c r="G508" s="3"/>
      <c r="I508" s="3"/>
    </row>
    <row r="509" ht="15.75" customHeight="1">
      <c r="C509" s="3"/>
      <c r="D509" s="3"/>
      <c r="E509" s="3"/>
      <c r="F509" s="3"/>
      <c r="G509" s="3"/>
      <c r="I509" s="3"/>
    </row>
    <row r="510" ht="15.75" customHeight="1">
      <c r="C510" s="3"/>
      <c r="D510" s="3"/>
      <c r="E510" s="3"/>
      <c r="F510" s="3"/>
      <c r="G510" s="3"/>
      <c r="I510" s="3"/>
    </row>
    <row r="511" ht="15.75" customHeight="1">
      <c r="C511" s="3"/>
      <c r="D511" s="3"/>
      <c r="E511" s="3"/>
      <c r="F511" s="3"/>
      <c r="G511" s="3"/>
      <c r="I511" s="3"/>
    </row>
    <row r="512" ht="15.75" customHeight="1">
      <c r="C512" s="3"/>
      <c r="D512" s="3"/>
      <c r="E512" s="3"/>
      <c r="F512" s="3"/>
      <c r="G512" s="3"/>
      <c r="I512" s="3"/>
    </row>
    <row r="513" ht="15.75" customHeight="1">
      <c r="C513" s="3"/>
      <c r="D513" s="3"/>
      <c r="E513" s="3"/>
      <c r="F513" s="3"/>
      <c r="G513" s="3"/>
      <c r="I513" s="3"/>
    </row>
    <row r="514" ht="15.75" customHeight="1">
      <c r="C514" s="3"/>
      <c r="D514" s="3"/>
      <c r="E514" s="3"/>
      <c r="F514" s="3"/>
      <c r="G514" s="3"/>
      <c r="I514" s="3"/>
    </row>
    <row r="515" ht="15.75" customHeight="1">
      <c r="C515" s="3"/>
      <c r="D515" s="3"/>
      <c r="E515" s="3"/>
      <c r="F515" s="3"/>
      <c r="G515" s="3"/>
      <c r="I515" s="3"/>
    </row>
    <row r="516" ht="15.75" customHeight="1">
      <c r="C516" s="3"/>
      <c r="D516" s="3"/>
      <c r="E516" s="3"/>
      <c r="F516" s="3"/>
      <c r="G516" s="3"/>
      <c r="I516" s="3"/>
    </row>
    <row r="517" ht="15.75" customHeight="1">
      <c r="C517" s="3"/>
      <c r="D517" s="3"/>
      <c r="E517" s="3"/>
      <c r="F517" s="3"/>
      <c r="G517" s="3"/>
      <c r="I517" s="3"/>
    </row>
    <row r="518" ht="15.75" customHeight="1">
      <c r="C518" s="3"/>
      <c r="D518" s="3"/>
      <c r="E518" s="3"/>
      <c r="F518" s="3"/>
      <c r="G518" s="3"/>
      <c r="I518" s="3"/>
    </row>
    <row r="519" ht="15.75" customHeight="1">
      <c r="C519" s="3"/>
      <c r="D519" s="3"/>
      <c r="E519" s="3"/>
      <c r="F519" s="3"/>
      <c r="G519" s="3"/>
      <c r="I519" s="3"/>
    </row>
    <row r="520" ht="15.75" customHeight="1">
      <c r="C520" s="3"/>
      <c r="D520" s="3"/>
      <c r="E520" s="3"/>
      <c r="F520" s="3"/>
      <c r="G520" s="3"/>
      <c r="I520" s="3"/>
    </row>
    <row r="521" ht="15.75" customHeight="1">
      <c r="C521" s="3"/>
      <c r="D521" s="3"/>
      <c r="E521" s="3"/>
      <c r="F521" s="3"/>
      <c r="G521" s="3"/>
      <c r="I521" s="3"/>
    </row>
    <row r="522" ht="15.75" customHeight="1">
      <c r="C522" s="3"/>
      <c r="D522" s="3"/>
      <c r="E522" s="3"/>
      <c r="F522" s="3"/>
      <c r="G522" s="3"/>
      <c r="I522" s="3"/>
    </row>
    <row r="523" ht="15.75" customHeight="1">
      <c r="C523" s="3"/>
      <c r="D523" s="3"/>
      <c r="E523" s="3"/>
      <c r="F523" s="3"/>
      <c r="G523" s="3"/>
      <c r="I523" s="3"/>
    </row>
    <row r="524" ht="15.75" customHeight="1">
      <c r="C524" s="3"/>
      <c r="D524" s="3"/>
      <c r="E524" s="3"/>
      <c r="F524" s="3"/>
      <c r="G524" s="3"/>
      <c r="I524" s="3"/>
    </row>
    <row r="525" ht="15.75" customHeight="1">
      <c r="C525" s="3"/>
      <c r="D525" s="3"/>
      <c r="E525" s="3"/>
      <c r="F525" s="3"/>
      <c r="G525" s="3"/>
      <c r="I525" s="3"/>
    </row>
    <row r="526" ht="15.75" customHeight="1">
      <c r="C526" s="3"/>
      <c r="D526" s="3"/>
      <c r="E526" s="3"/>
      <c r="F526" s="3"/>
      <c r="G526" s="3"/>
      <c r="I526" s="3"/>
    </row>
    <row r="527" ht="15.75" customHeight="1">
      <c r="C527" s="3"/>
      <c r="D527" s="3"/>
      <c r="E527" s="3"/>
      <c r="F527" s="3"/>
      <c r="G527" s="3"/>
      <c r="I527" s="3"/>
    </row>
    <row r="528" ht="15.75" customHeight="1">
      <c r="C528" s="3"/>
      <c r="D528" s="3"/>
      <c r="E528" s="3"/>
      <c r="F528" s="3"/>
      <c r="G528" s="3"/>
      <c r="I528" s="3"/>
    </row>
    <row r="529" ht="15.75" customHeight="1">
      <c r="C529" s="3"/>
      <c r="D529" s="3"/>
      <c r="E529" s="3"/>
      <c r="F529" s="3"/>
      <c r="G529" s="3"/>
      <c r="I529" s="3"/>
    </row>
    <row r="530" ht="15.75" customHeight="1">
      <c r="C530" s="3"/>
      <c r="D530" s="3"/>
      <c r="E530" s="3"/>
      <c r="F530" s="3"/>
      <c r="G530" s="3"/>
      <c r="I530" s="3"/>
    </row>
    <row r="531" ht="15.75" customHeight="1">
      <c r="C531" s="3"/>
      <c r="D531" s="3"/>
      <c r="E531" s="3"/>
      <c r="F531" s="3"/>
      <c r="G531" s="3"/>
      <c r="I531" s="3"/>
    </row>
    <row r="532" ht="15.75" customHeight="1">
      <c r="C532" s="3"/>
      <c r="D532" s="3"/>
      <c r="E532" s="3"/>
      <c r="F532" s="3"/>
      <c r="G532" s="3"/>
      <c r="I532" s="3"/>
    </row>
    <row r="533" ht="15.75" customHeight="1">
      <c r="C533" s="3"/>
      <c r="D533" s="3"/>
      <c r="E533" s="3"/>
      <c r="F533" s="3"/>
      <c r="G533" s="3"/>
      <c r="I533" s="3"/>
    </row>
    <row r="534" ht="15.75" customHeight="1">
      <c r="C534" s="3"/>
      <c r="D534" s="3"/>
      <c r="E534" s="3"/>
      <c r="F534" s="3"/>
      <c r="G534" s="3"/>
      <c r="I534" s="3"/>
    </row>
    <row r="535" ht="15.75" customHeight="1">
      <c r="C535" s="3"/>
      <c r="D535" s="3"/>
      <c r="E535" s="3"/>
      <c r="F535" s="3"/>
      <c r="G535" s="3"/>
      <c r="I535" s="3"/>
    </row>
    <row r="536" ht="15.75" customHeight="1">
      <c r="C536" s="3"/>
      <c r="D536" s="3"/>
      <c r="E536" s="3"/>
      <c r="F536" s="3"/>
      <c r="G536" s="3"/>
      <c r="I536" s="3"/>
    </row>
    <row r="537" ht="15.75" customHeight="1">
      <c r="C537" s="3"/>
      <c r="D537" s="3"/>
      <c r="E537" s="3"/>
      <c r="F537" s="3"/>
      <c r="G537" s="3"/>
      <c r="I537" s="3"/>
    </row>
    <row r="538" ht="15.75" customHeight="1">
      <c r="C538" s="3"/>
      <c r="D538" s="3"/>
      <c r="E538" s="3"/>
      <c r="F538" s="3"/>
      <c r="G538" s="3"/>
      <c r="I538" s="3"/>
    </row>
    <row r="539" ht="15.75" customHeight="1">
      <c r="C539" s="3"/>
      <c r="D539" s="3"/>
      <c r="E539" s="3"/>
      <c r="F539" s="3"/>
      <c r="G539" s="3"/>
      <c r="I539" s="3"/>
    </row>
    <row r="540" ht="15.75" customHeight="1">
      <c r="C540" s="3"/>
      <c r="D540" s="3"/>
      <c r="E540" s="3"/>
      <c r="F540" s="3"/>
      <c r="G540" s="3"/>
      <c r="I540" s="3"/>
    </row>
    <row r="541" ht="15.75" customHeight="1">
      <c r="C541" s="3"/>
      <c r="D541" s="3"/>
      <c r="E541" s="3"/>
      <c r="F541" s="3"/>
      <c r="G541" s="3"/>
      <c r="I541" s="3"/>
    </row>
    <row r="542" ht="15.75" customHeight="1">
      <c r="C542" s="3"/>
      <c r="D542" s="3"/>
      <c r="E542" s="3"/>
      <c r="F542" s="3"/>
      <c r="G542" s="3"/>
      <c r="I542" s="3"/>
    </row>
    <row r="543" ht="15.75" customHeight="1">
      <c r="C543" s="3"/>
      <c r="D543" s="3"/>
      <c r="E543" s="3"/>
      <c r="F543" s="3"/>
      <c r="G543" s="3"/>
      <c r="I543" s="3"/>
    </row>
    <row r="544" ht="15.75" customHeight="1">
      <c r="C544" s="3"/>
      <c r="D544" s="3"/>
      <c r="E544" s="3"/>
      <c r="F544" s="3"/>
      <c r="G544" s="3"/>
      <c r="I544" s="3"/>
    </row>
    <row r="545" ht="15.75" customHeight="1">
      <c r="C545" s="3"/>
      <c r="D545" s="3"/>
      <c r="E545" s="3"/>
      <c r="F545" s="3"/>
      <c r="G545" s="3"/>
      <c r="I545" s="3"/>
    </row>
    <row r="546" ht="15.75" customHeight="1">
      <c r="C546" s="3"/>
      <c r="D546" s="3"/>
      <c r="E546" s="3"/>
      <c r="F546" s="3"/>
      <c r="G546" s="3"/>
      <c r="I546" s="3"/>
    </row>
    <row r="547" ht="15.75" customHeight="1">
      <c r="C547" s="3"/>
      <c r="D547" s="3"/>
      <c r="E547" s="3"/>
      <c r="F547" s="3"/>
      <c r="G547" s="3"/>
      <c r="I547" s="3"/>
    </row>
    <row r="548" ht="15.75" customHeight="1">
      <c r="C548" s="3"/>
      <c r="D548" s="3"/>
      <c r="E548" s="3"/>
      <c r="F548" s="3"/>
      <c r="G548" s="3"/>
      <c r="I548" s="3"/>
    </row>
    <row r="549" ht="15.75" customHeight="1">
      <c r="C549" s="3"/>
      <c r="D549" s="3"/>
      <c r="E549" s="3"/>
      <c r="F549" s="3"/>
      <c r="G549" s="3"/>
      <c r="I549" s="3"/>
    </row>
    <row r="550" ht="15.75" customHeight="1">
      <c r="C550" s="3"/>
      <c r="D550" s="3"/>
      <c r="E550" s="3"/>
      <c r="F550" s="3"/>
      <c r="G550" s="3"/>
      <c r="I550" s="3"/>
    </row>
    <row r="551" ht="15.75" customHeight="1">
      <c r="C551" s="3"/>
      <c r="D551" s="3"/>
      <c r="E551" s="3"/>
      <c r="F551" s="3"/>
      <c r="G551" s="3"/>
      <c r="I551" s="3"/>
    </row>
    <row r="552" ht="15.75" customHeight="1">
      <c r="C552" s="3"/>
      <c r="D552" s="3"/>
      <c r="E552" s="3"/>
      <c r="F552" s="3"/>
      <c r="G552" s="3"/>
      <c r="I552" s="3"/>
    </row>
    <row r="553" ht="15.75" customHeight="1">
      <c r="C553" s="3"/>
      <c r="D553" s="3"/>
      <c r="E553" s="3"/>
      <c r="F553" s="3"/>
      <c r="G553" s="3"/>
      <c r="I553" s="3"/>
    </row>
    <row r="554" ht="15.75" customHeight="1">
      <c r="C554" s="3"/>
      <c r="D554" s="3"/>
      <c r="E554" s="3"/>
      <c r="F554" s="3"/>
      <c r="G554" s="3"/>
      <c r="I554" s="3"/>
    </row>
    <row r="555" ht="15.75" customHeight="1">
      <c r="C555" s="3"/>
      <c r="D555" s="3"/>
      <c r="E555" s="3"/>
      <c r="F555" s="3"/>
      <c r="G555" s="3"/>
      <c r="I555" s="3"/>
    </row>
    <row r="556" ht="15.75" customHeight="1">
      <c r="C556" s="3"/>
      <c r="D556" s="3"/>
      <c r="E556" s="3"/>
      <c r="F556" s="3"/>
      <c r="G556" s="3"/>
      <c r="I556" s="3"/>
    </row>
    <row r="557" ht="15.75" customHeight="1">
      <c r="C557" s="3"/>
      <c r="D557" s="3"/>
      <c r="E557" s="3"/>
      <c r="F557" s="3"/>
      <c r="G557" s="3"/>
      <c r="I557" s="3"/>
    </row>
    <row r="558" ht="15.75" customHeight="1">
      <c r="C558" s="3"/>
      <c r="D558" s="3"/>
      <c r="E558" s="3"/>
      <c r="F558" s="3"/>
      <c r="G558" s="3"/>
      <c r="I558" s="3"/>
    </row>
    <row r="559" ht="15.75" customHeight="1">
      <c r="C559" s="3"/>
      <c r="D559" s="3"/>
      <c r="E559" s="3"/>
      <c r="F559" s="3"/>
      <c r="G559" s="3"/>
      <c r="I559" s="3"/>
    </row>
    <row r="560" ht="15.75" customHeight="1">
      <c r="C560" s="3"/>
      <c r="D560" s="3"/>
      <c r="E560" s="3"/>
      <c r="F560" s="3"/>
      <c r="G560" s="3"/>
      <c r="I560" s="3"/>
    </row>
    <row r="561" ht="15.75" customHeight="1">
      <c r="C561" s="3"/>
      <c r="D561" s="3"/>
      <c r="E561" s="3"/>
      <c r="F561" s="3"/>
      <c r="G561" s="3"/>
      <c r="I561" s="3"/>
    </row>
    <row r="562" ht="15.75" customHeight="1">
      <c r="C562" s="3"/>
      <c r="D562" s="3"/>
      <c r="E562" s="3"/>
      <c r="F562" s="3"/>
      <c r="G562" s="3"/>
      <c r="I562" s="3"/>
    </row>
    <row r="563" ht="15.75" customHeight="1">
      <c r="C563" s="3"/>
      <c r="D563" s="3"/>
      <c r="E563" s="3"/>
      <c r="F563" s="3"/>
      <c r="G563" s="3"/>
      <c r="I563" s="3"/>
    </row>
    <row r="564" ht="15.75" customHeight="1">
      <c r="C564" s="3"/>
      <c r="D564" s="3"/>
      <c r="E564" s="3"/>
      <c r="F564" s="3"/>
      <c r="G564" s="3"/>
      <c r="I564" s="3"/>
    </row>
    <row r="565" ht="15.75" customHeight="1">
      <c r="C565" s="3"/>
      <c r="D565" s="3"/>
      <c r="E565" s="3"/>
      <c r="F565" s="3"/>
      <c r="G565" s="3"/>
      <c r="I565" s="3"/>
    </row>
    <row r="566" ht="15.75" customHeight="1">
      <c r="C566" s="3"/>
      <c r="D566" s="3"/>
      <c r="E566" s="3"/>
      <c r="F566" s="3"/>
      <c r="G566" s="3"/>
      <c r="I566" s="3"/>
    </row>
    <row r="567" ht="15.75" customHeight="1">
      <c r="C567" s="3"/>
      <c r="D567" s="3"/>
      <c r="E567" s="3"/>
      <c r="F567" s="3"/>
      <c r="G567" s="3"/>
      <c r="I567" s="3"/>
    </row>
    <row r="568" ht="15.75" customHeight="1">
      <c r="C568" s="3"/>
      <c r="D568" s="3"/>
      <c r="E568" s="3"/>
      <c r="F568" s="3"/>
      <c r="G568" s="3"/>
      <c r="I568" s="3"/>
    </row>
    <row r="569" ht="15.75" customHeight="1">
      <c r="C569" s="3"/>
      <c r="D569" s="3"/>
      <c r="E569" s="3"/>
      <c r="F569" s="3"/>
      <c r="G569" s="3"/>
      <c r="I569" s="3"/>
    </row>
    <row r="570" ht="15.75" customHeight="1">
      <c r="C570" s="3"/>
      <c r="D570" s="3"/>
      <c r="E570" s="3"/>
      <c r="F570" s="3"/>
      <c r="G570" s="3"/>
      <c r="I570" s="3"/>
    </row>
    <row r="571" ht="15.75" customHeight="1">
      <c r="C571" s="3"/>
      <c r="D571" s="3"/>
      <c r="E571" s="3"/>
      <c r="F571" s="3"/>
      <c r="G571" s="3"/>
      <c r="I571" s="3"/>
    </row>
    <row r="572" ht="15.75" customHeight="1">
      <c r="C572" s="3"/>
      <c r="D572" s="3"/>
      <c r="E572" s="3"/>
      <c r="F572" s="3"/>
      <c r="G572" s="3"/>
      <c r="I572" s="3"/>
    </row>
    <row r="573" ht="15.75" customHeight="1">
      <c r="C573" s="3"/>
      <c r="D573" s="3"/>
      <c r="E573" s="3"/>
      <c r="F573" s="3"/>
      <c r="G573" s="3"/>
      <c r="I573" s="3"/>
    </row>
    <row r="574" ht="15.75" customHeight="1">
      <c r="C574" s="3"/>
      <c r="D574" s="3"/>
      <c r="E574" s="3"/>
      <c r="F574" s="3"/>
      <c r="G574" s="3"/>
      <c r="I574" s="3"/>
    </row>
    <row r="575" ht="15.75" customHeight="1">
      <c r="C575" s="3"/>
      <c r="D575" s="3"/>
      <c r="E575" s="3"/>
      <c r="F575" s="3"/>
      <c r="G575" s="3"/>
      <c r="I575" s="3"/>
    </row>
    <row r="576" ht="15.75" customHeight="1">
      <c r="C576" s="3"/>
      <c r="D576" s="3"/>
      <c r="E576" s="3"/>
      <c r="F576" s="3"/>
      <c r="G576" s="3"/>
      <c r="I576" s="3"/>
    </row>
    <row r="577" ht="15.75" customHeight="1">
      <c r="C577" s="3"/>
      <c r="D577" s="3"/>
      <c r="E577" s="3"/>
      <c r="F577" s="3"/>
      <c r="G577" s="3"/>
      <c r="I577" s="3"/>
    </row>
    <row r="578" ht="15.75" customHeight="1">
      <c r="C578" s="3"/>
      <c r="D578" s="3"/>
      <c r="E578" s="3"/>
      <c r="F578" s="3"/>
      <c r="G578" s="3"/>
      <c r="I578" s="3"/>
    </row>
    <row r="579" ht="15.75" customHeight="1">
      <c r="C579" s="3"/>
      <c r="D579" s="3"/>
      <c r="E579" s="3"/>
      <c r="F579" s="3"/>
      <c r="G579" s="3"/>
      <c r="I579" s="3"/>
    </row>
    <row r="580" ht="15.75" customHeight="1">
      <c r="C580" s="3"/>
      <c r="D580" s="3"/>
      <c r="E580" s="3"/>
      <c r="F580" s="3"/>
      <c r="G580" s="3"/>
      <c r="I580" s="3"/>
    </row>
    <row r="581" ht="15.75" customHeight="1">
      <c r="C581" s="3"/>
      <c r="D581" s="3"/>
      <c r="E581" s="3"/>
      <c r="F581" s="3"/>
      <c r="G581" s="3"/>
      <c r="I581" s="3"/>
    </row>
    <row r="582" ht="15.75" customHeight="1">
      <c r="C582" s="3"/>
      <c r="D582" s="3"/>
      <c r="E582" s="3"/>
      <c r="F582" s="3"/>
      <c r="G582" s="3"/>
      <c r="I582" s="3"/>
    </row>
    <row r="583" ht="15.75" customHeight="1">
      <c r="C583" s="3"/>
      <c r="D583" s="3"/>
      <c r="E583" s="3"/>
      <c r="F583" s="3"/>
      <c r="G583" s="3"/>
      <c r="I583" s="3"/>
    </row>
    <row r="584" ht="15.75" customHeight="1">
      <c r="C584" s="3"/>
      <c r="D584" s="3"/>
      <c r="E584" s="3"/>
      <c r="F584" s="3"/>
      <c r="G584" s="3"/>
      <c r="I584" s="3"/>
    </row>
    <row r="585" ht="15.75" customHeight="1">
      <c r="C585" s="3"/>
      <c r="D585" s="3"/>
      <c r="E585" s="3"/>
      <c r="F585" s="3"/>
      <c r="G585" s="3"/>
      <c r="I585" s="3"/>
    </row>
    <row r="586" ht="15.75" customHeight="1">
      <c r="C586" s="3"/>
      <c r="D586" s="3"/>
      <c r="E586" s="3"/>
      <c r="F586" s="3"/>
      <c r="G586" s="3"/>
      <c r="I586" s="3"/>
    </row>
    <row r="587" ht="15.75" customHeight="1">
      <c r="C587" s="3"/>
      <c r="D587" s="3"/>
      <c r="E587" s="3"/>
      <c r="F587" s="3"/>
      <c r="G587" s="3"/>
      <c r="I587" s="3"/>
    </row>
    <row r="588" ht="15.75" customHeight="1">
      <c r="C588" s="3"/>
      <c r="D588" s="3"/>
      <c r="E588" s="3"/>
      <c r="F588" s="3"/>
      <c r="G588" s="3"/>
      <c r="I588" s="3"/>
    </row>
    <row r="589" ht="15.75" customHeight="1">
      <c r="C589" s="3"/>
      <c r="D589" s="3"/>
      <c r="E589" s="3"/>
      <c r="F589" s="3"/>
      <c r="G589" s="3"/>
      <c r="I589" s="3"/>
    </row>
    <row r="590" ht="15.75" customHeight="1">
      <c r="C590" s="3"/>
      <c r="D590" s="3"/>
      <c r="E590" s="3"/>
      <c r="F590" s="3"/>
      <c r="G590" s="3"/>
      <c r="I590" s="3"/>
    </row>
    <row r="591" ht="15.75" customHeight="1">
      <c r="C591" s="3"/>
      <c r="D591" s="3"/>
      <c r="E591" s="3"/>
      <c r="F591" s="3"/>
      <c r="G591" s="3"/>
      <c r="I591" s="3"/>
    </row>
    <row r="592" ht="15.75" customHeight="1">
      <c r="C592" s="3"/>
      <c r="D592" s="3"/>
      <c r="E592" s="3"/>
      <c r="F592" s="3"/>
      <c r="G592" s="3"/>
      <c r="I592" s="3"/>
    </row>
    <row r="593" ht="15.75" customHeight="1">
      <c r="C593" s="3"/>
      <c r="D593" s="3"/>
      <c r="E593" s="3"/>
      <c r="F593" s="3"/>
      <c r="G593" s="3"/>
      <c r="I593" s="3"/>
    </row>
    <row r="594" ht="15.75" customHeight="1">
      <c r="C594" s="3"/>
      <c r="D594" s="3"/>
      <c r="E594" s="3"/>
      <c r="F594" s="3"/>
      <c r="G594" s="3"/>
      <c r="I594" s="3"/>
    </row>
    <row r="595" ht="15.75" customHeight="1">
      <c r="C595" s="3"/>
      <c r="D595" s="3"/>
      <c r="E595" s="3"/>
      <c r="F595" s="3"/>
      <c r="G595" s="3"/>
      <c r="I595" s="3"/>
    </row>
    <row r="596" ht="15.75" customHeight="1">
      <c r="C596" s="3"/>
      <c r="D596" s="3"/>
      <c r="E596" s="3"/>
      <c r="F596" s="3"/>
      <c r="G596" s="3"/>
      <c r="I596" s="3"/>
    </row>
    <row r="597" ht="15.75" customHeight="1">
      <c r="C597" s="3"/>
      <c r="D597" s="3"/>
      <c r="E597" s="3"/>
      <c r="F597" s="3"/>
      <c r="G597" s="3"/>
      <c r="I597" s="3"/>
    </row>
    <row r="598" ht="15.75" customHeight="1">
      <c r="C598" s="3"/>
      <c r="D598" s="3"/>
      <c r="E598" s="3"/>
      <c r="F598" s="3"/>
      <c r="G598" s="3"/>
      <c r="I598" s="3"/>
    </row>
    <row r="599" ht="15.75" customHeight="1">
      <c r="C599" s="3"/>
      <c r="D599" s="3"/>
      <c r="E599" s="3"/>
      <c r="F599" s="3"/>
      <c r="G599" s="3"/>
      <c r="I599" s="3"/>
    </row>
    <row r="600" ht="15.75" customHeight="1">
      <c r="C600" s="3"/>
      <c r="D600" s="3"/>
      <c r="E600" s="3"/>
      <c r="F600" s="3"/>
      <c r="G600" s="3"/>
      <c r="I600" s="3"/>
    </row>
    <row r="601" ht="15.75" customHeight="1">
      <c r="C601" s="3"/>
      <c r="D601" s="3"/>
      <c r="E601" s="3"/>
      <c r="F601" s="3"/>
      <c r="G601" s="3"/>
      <c r="I601" s="3"/>
    </row>
    <row r="602" ht="15.75" customHeight="1">
      <c r="C602" s="3"/>
      <c r="D602" s="3"/>
      <c r="E602" s="3"/>
      <c r="F602" s="3"/>
      <c r="G602" s="3"/>
      <c r="I602" s="3"/>
    </row>
    <row r="603" ht="15.75" customHeight="1">
      <c r="C603" s="3"/>
      <c r="D603" s="3"/>
      <c r="E603" s="3"/>
      <c r="F603" s="3"/>
      <c r="G603" s="3"/>
      <c r="I603" s="3"/>
    </row>
    <row r="604" ht="15.75" customHeight="1">
      <c r="C604" s="3"/>
      <c r="D604" s="3"/>
      <c r="E604" s="3"/>
      <c r="F604" s="3"/>
      <c r="G604" s="3"/>
      <c r="I604" s="3"/>
    </row>
    <row r="605" ht="15.75" customHeight="1">
      <c r="C605" s="3"/>
      <c r="D605" s="3"/>
      <c r="E605" s="3"/>
      <c r="F605" s="3"/>
      <c r="G605" s="3"/>
      <c r="I605" s="3"/>
    </row>
    <row r="606" ht="15.75" customHeight="1">
      <c r="C606" s="3"/>
      <c r="D606" s="3"/>
      <c r="E606" s="3"/>
      <c r="F606" s="3"/>
      <c r="G606" s="3"/>
      <c r="I606" s="3"/>
    </row>
    <row r="607" ht="15.75" customHeight="1">
      <c r="C607" s="3"/>
      <c r="D607" s="3"/>
      <c r="E607" s="3"/>
      <c r="F607" s="3"/>
      <c r="G607" s="3"/>
      <c r="I607" s="3"/>
    </row>
    <row r="608" ht="15.75" customHeight="1">
      <c r="C608" s="3"/>
      <c r="D608" s="3"/>
      <c r="E608" s="3"/>
      <c r="F608" s="3"/>
      <c r="G608" s="3"/>
      <c r="I608" s="3"/>
    </row>
    <row r="609" ht="15.75" customHeight="1">
      <c r="C609" s="3"/>
      <c r="D609" s="3"/>
      <c r="E609" s="3"/>
      <c r="F609" s="3"/>
      <c r="G609" s="3"/>
      <c r="I609" s="3"/>
    </row>
    <row r="610" ht="15.75" customHeight="1">
      <c r="C610" s="3"/>
      <c r="D610" s="3"/>
      <c r="E610" s="3"/>
      <c r="F610" s="3"/>
      <c r="G610" s="3"/>
      <c r="I610" s="3"/>
    </row>
    <row r="611" ht="15.75" customHeight="1">
      <c r="C611" s="3"/>
      <c r="D611" s="3"/>
      <c r="E611" s="3"/>
      <c r="F611" s="3"/>
      <c r="G611" s="3"/>
      <c r="I611" s="3"/>
    </row>
    <row r="612" ht="15.75" customHeight="1">
      <c r="C612" s="3"/>
      <c r="D612" s="3"/>
      <c r="E612" s="3"/>
      <c r="F612" s="3"/>
      <c r="G612" s="3"/>
      <c r="I612" s="3"/>
    </row>
    <row r="613" ht="15.75" customHeight="1">
      <c r="C613" s="3"/>
      <c r="D613" s="3"/>
      <c r="E613" s="3"/>
      <c r="F613" s="3"/>
      <c r="G613" s="3"/>
      <c r="I613" s="3"/>
    </row>
    <row r="614" ht="15.75" customHeight="1">
      <c r="C614" s="3"/>
      <c r="D614" s="3"/>
      <c r="E614" s="3"/>
      <c r="F614" s="3"/>
      <c r="G614" s="3"/>
      <c r="I614" s="3"/>
    </row>
    <row r="615" ht="15.75" customHeight="1">
      <c r="C615" s="3"/>
      <c r="D615" s="3"/>
      <c r="E615" s="3"/>
      <c r="F615" s="3"/>
      <c r="G615" s="3"/>
      <c r="I615" s="3"/>
    </row>
    <row r="616" ht="15.75" customHeight="1">
      <c r="C616" s="3"/>
      <c r="D616" s="3"/>
      <c r="E616" s="3"/>
      <c r="F616" s="3"/>
      <c r="G616" s="3"/>
      <c r="I616" s="3"/>
    </row>
    <row r="617" ht="15.75" customHeight="1">
      <c r="C617" s="3"/>
      <c r="D617" s="3"/>
      <c r="E617" s="3"/>
      <c r="F617" s="3"/>
      <c r="G617" s="3"/>
      <c r="I617" s="3"/>
    </row>
    <row r="618" ht="15.75" customHeight="1">
      <c r="C618" s="3"/>
      <c r="D618" s="3"/>
      <c r="E618" s="3"/>
      <c r="F618" s="3"/>
      <c r="G618" s="3"/>
      <c r="I618" s="3"/>
    </row>
    <row r="619" ht="15.75" customHeight="1">
      <c r="C619" s="3"/>
      <c r="D619" s="3"/>
      <c r="E619" s="3"/>
      <c r="F619" s="3"/>
      <c r="G619" s="3"/>
      <c r="I619" s="3"/>
    </row>
    <row r="620" ht="15.75" customHeight="1">
      <c r="C620" s="3"/>
      <c r="D620" s="3"/>
      <c r="E620" s="3"/>
      <c r="F620" s="3"/>
      <c r="G620" s="3"/>
      <c r="I620" s="3"/>
    </row>
    <row r="621" ht="15.75" customHeight="1">
      <c r="C621" s="3"/>
      <c r="D621" s="3"/>
      <c r="E621" s="3"/>
      <c r="F621" s="3"/>
      <c r="G621" s="3"/>
      <c r="I621" s="3"/>
    </row>
    <row r="622" ht="15.75" customHeight="1">
      <c r="C622" s="3"/>
      <c r="D622" s="3"/>
      <c r="E622" s="3"/>
      <c r="F622" s="3"/>
      <c r="G622" s="3"/>
      <c r="I622" s="3"/>
    </row>
    <row r="623" ht="15.75" customHeight="1">
      <c r="C623" s="3"/>
      <c r="D623" s="3"/>
      <c r="E623" s="3"/>
      <c r="F623" s="3"/>
      <c r="G623" s="3"/>
      <c r="I623" s="3"/>
    </row>
    <row r="624" ht="15.75" customHeight="1">
      <c r="C624" s="3"/>
      <c r="D624" s="3"/>
      <c r="E624" s="3"/>
      <c r="F624" s="3"/>
      <c r="G624" s="3"/>
      <c r="I624" s="3"/>
    </row>
    <row r="625" ht="15.75" customHeight="1">
      <c r="C625" s="3"/>
      <c r="D625" s="3"/>
      <c r="E625" s="3"/>
      <c r="F625" s="3"/>
      <c r="G625" s="3"/>
      <c r="I625" s="3"/>
    </row>
    <row r="626" ht="15.75" customHeight="1">
      <c r="C626" s="3"/>
      <c r="D626" s="3"/>
      <c r="E626" s="3"/>
      <c r="F626" s="3"/>
      <c r="G626" s="3"/>
      <c r="I626" s="3"/>
    </row>
    <row r="627" ht="15.75" customHeight="1">
      <c r="C627" s="3"/>
      <c r="D627" s="3"/>
      <c r="E627" s="3"/>
      <c r="F627" s="3"/>
      <c r="G627" s="3"/>
      <c r="I627" s="3"/>
    </row>
    <row r="628" ht="15.75" customHeight="1">
      <c r="C628" s="3"/>
      <c r="D628" s="3"/>
      <c r="E628" s="3"/>
      <c r="F628" s="3"/>
      <c r="G628" s="3"/>
      <c r="I628" s="3"/>
    </row>
    <row r="629" ht="15.75" customHeight="1">
      <c r="C629" s="3"/>
      <c r="D629" s="3"/>
      <c r="E629" s="3"/>
      <c r="F629" s="3"/>
      <c r="G629" s="3"/>
      <c r="I629" s="3"/>
    </row>
    <row r="630" ht="15.75" customHeight="1">
      <c r="C630" s="3"/>
      <c r="D630" s="3"/>
      <c r="E630" s="3"/>
      <c r="F630" s="3"/>
      <c r="G630" s="3"/>
      <c r="I630" s="3"/>
    </row>
    <row r="631" ht="15.75" customHeight="1">
      <c r="C631" s="3"/>
      <c r="D631" s="3"/>
      <c r="E631" s="3"/>
      <c r="F631" s="3"/>
      <c r="G631" s="3"/>
      <c r="I631" s="3"/>
    </row>
    <row r="632" ht="15.75" customHeight="1">
      <c r="C632" s="3"/>
      <c r="D632" s="3"/>
      <c r="E632" s="3"/>
      <c r="F632" s="3"/>
      <c r="G632" s="3"/>
      <c r="I632" s="3"/>
    </row>
    <row r="633" ht="15.75" customHeight="1">
      <c r="C633" s="3"/>
      <c r="D633" s="3"/>
      <c r="E633" s="3"/>
      <c r="F633" s="3"/>
      <c r="G633" s="3"/>
      <c r="I633" s="3"/>
    </row>
    <row r="634" ht="15.75" customHeight="1">
      <c r="C634" s="3"/>
      <c r="D634" s="3"/>
      <c r="E634" s="3"/>
      <c r="F634" s="3"/>
      <c r="G634" s="3"/>
      <c r="I634" s="3"/>
    </row>
    <row r="635" ht="15.75" customHeight="1">
      <c r="C635" s="3"/>
      <c r="D635" s="3"/>
      <c r="E635" s="3"/>
      <c r="F635" s="3"/>
      <c r="G635" s="3"/>
      <c r="I635" s="3"/>
    </row>
    <row r="636" ht="15.75" customHeight="1">
      <c r="C636" s="3"/>
      <c r="D636" s="3"/>
      <c r="E636" s="3"/>
      <c r="F636" s="3"/>
      <c r="G636" s="3"/>
      <c r="I636" s="3"/>
    </row>
    <row r="637" ht="15.75" customHeight="1">
      <c r="C637" s="3"/>
      <c r="D637" s="3"/>
      <c r="E637" s="3"/>
      <c r="F637" s="3"/>
      <c r="G637" s="3"/>
      <c r="I637" s="3"/>
    </row>
    <row r="638" ht="15.75" customHeight="1">
      <c r="C638" s="3"/>
      <c r="D638" s="3"/>
      <c r="E638" s="3"/>
      <c r="F638" s="3"/>
      <c r="G638" s="3"/>
      <c r="I638" s="3"/>
    </row>
    <row r="639" ht="15.75" customHeight="1">
      <c r="C639" s="3"/>
      <c r="D639" s="3"/>
      <c r="E639" s="3"/>
      <c r="F639" s="3"/>
      <c r="G639" s="3"/>
      <c r="I639" s="3"/>
    </row>
    <row r="640" ht="15.75" customHeight="1">
      <c r="C640" s="3"/>
      <c r="D640" s="3"/>
      <c r="E640" s="3"/>
      <c r="F640" s="3"/>
      <c r="G640" s="3"/>
      <c r="I640" s="3"/>
    </row>
    <row r="641" ht="15.75" customHeight="1">
      <c r="C641" s="3"/>
      <c r="D641" s="3"/>
      <c r="E641" s="3"/>
      <c r="F641" s="3"/>
      <c r="G641" s="3"/>
      <c r="I641" s="3"/>
    </row>
    <row r="642" ht="15.75" customHeight="1">
      <c r="C642" s="3"/>
      <c r="D642" s="3"/>
      <c r="E642" s="3"/>
      <c r="F642" s="3"/>
      <c r="G642" s="3"/>
      <c r="I642" s="3"/>
    </row>
    <row r="643" ht="15.75" customHeight="1">
      <c r="C643" s="3"/>
      <c r="D643" s="3"/>
      <c r="E643" s="3"/>
      <c r="F643" s="3"/>
      <c r="G643" s="3"/>
      <c r="I643" s="3"/>
    </row>
    <row r="644" ht="15.75" customHeight="1">
      <c r="C644" s="3"/>
      <c r="D644" s="3"/>
      <c r="E644" s="3"/>
      <c r="F644" s="3"/>
      <c r="G644" s="3"/>
      <c r="I644" s="3"/>
    </row>
    <row r="645" ht="15.75" customHeight="1">
      <c r="C645" s="3"/>
      <c r="D645" s="3"/>
      <c r="E645" s="3"/>
      <c r="F645" s="3"/>
      <c r="G645" s="3"/>
      <c r="I645" s="3"/>
    </row>
    <row r="646" ht="15.75" customHeight="1">
      <c r="C646" s="3"/>
      <c r="D646" s="3"/>
      <c r="E646" s="3"/>
      <c r="F646" s="3"/>
      <c r="G646" s="3"/>
      <c r="I646" s="3"/>
    </row>
    <row r="647" ht="15.75" customHeight="1">
      <c r="C647" s="3"/>
      <c r="D647" s="3"/>
      <c r="E647" s="3"/>
      <c r="F647" s="3"/>
      <c r="G647" s="3"/>
      <c r="I647" s="3"/>
    </row>
    <row r="648" ht="15.75" customHeight="1">
      <c r="C648" s="3"/>
      <c r="D648" s="3"/>
      <c r="E648" s="3"/>
      <c r="F648" s="3"/>
      <c r="G648" s="3"/>
      <c r="I648" s="3"/>
    </row>
    <row r="649" ht="15.75" customHeight="1">
      <c r="C649" s="3"/>
      <c r="D649" s="3"/>
      <c r="E649" s="3"/>
      <c r="F649" s="3"/>
      <c r="G649" s="3"/>
      <c r="I649" s="3"/>
    </row>
    <row r="650" ht="15.75" customHeight="1">
      <c r="C650" s="3"/>
      <c r="D650" s="3"/>
      <c r="E650" s="3"/>
      <c r="F650" s="3"/>
      <c r="G650" s="3"/>
      <c r="I650" s="3"/>
    </row>
    <row r="651" ht="15.75" customHeight="1">
      <c r="C651" s="3"/>
      <c r="D651" s="3"/>
      <c r="E651" s="3"/>
      <c r="F651" s="3"/>
      <c r="G651" s="3"/>
      <c r="I651" s="3"/>
    </row>
    <row r="652" ht="15.75" customHeight="1">
      <c r="C652" s="3"/>
      <c r="D652" s="3"/>
      <c r="E652" s="3"/>
      <c r="F652" s="3"/>
      <c r="G652" s="3"/>
      <c r="I652" s="3"/>
    </row>
    <row r="653" ht="15.75" customHeight="1">
      <c r="C653" s="3"/>
      <c r="D653" s="3"/>
      <c r="E653" s="3"/>
      <c r="F653" s="3"/>
      <c r="G653" s="3"/>
      <c r="I653" s="3"/>
    </row>
    <row r="654" ht="15.75" customHeight="1">
      <c r="C654" s="3"/>
      <c r="D654" s="3"/>
      <c r="E654" s="3"/>
      <c r="F654" s="3"/>
      <c r="G654" s="3"/>
      <c r="I654" s="3"/>
    </row>
    <row r="655" ht="15.75" customHeight="1">
      <c r="C655" s="3"/>
      <c r="D655" s="3"/>
      <c r="E655" s="3"/>
      <c r="F655" s="3"/>
      <c r="G655" s="3"/>
      <c r="I655" s="3"/>
    </row>
    <row r="656" ht="15.75" customHeight="1">
      <c r="C656" s="3"/>
      <c r="D656" s="3"/>
      <c r="E656" s="3"/>
      <c r="F656" s="3"/>
      <c r="G656" s="3"/>
      <c r="I656" s="3"/>
    </row>
    <row r="657" ht="15.75" customHeight="1">
      <c r="C657" s="3"/>
      <c r="D657" s="3"/>
      <c r="E657" s="3"/>
      <c r="F657" s="3"/>
      <c r="G657" s="3"/>
      <c r="I657" s="3"/>
    </row>
    <row r="658" ht="15.75" customHeight="1">
      <c r="C658" s="3"/>
      <c r="D658" s="3"/>
      <c r="E658" s="3"/>
      <c r="F658" s="3"/>
      <c r="G658" s="3"/>
      <c r="I658" s="3"/>
    </row>
    <row r="659" ht="15.75" customHeight="1">
      <c r="C659" s="3"/>
      <c r="D659" s="3"/>
      <c r="E659" s="3"/>
      <c r="F659" s="3"/>
      <c r="G659" s="3"/>
      <c r="I659" s="3"/>
    </row>
    <row r="660" ht="15.75" customHeight="1">
      <c r="C660" s="3"/>
      <c r="D660" s="3"/>
      <c r="E660" s="3"/>
      <c r="F660" s="3"/>
      <c r="G660" s="3"/>
      <c r="I660" s="3"/>
    </row>
    <row r="661" ht="15.75" customHeight="1">
      <c r="C661" s="3"/>
      <c r="D661" s="3"/>
      <c r="E661" s="3"/>
      <c r="F661" s="3"/>
      <c r="G661" s="3"/>
      <c r="I661" s="3"/>
    </row>
    <row r="662" ht="15.75" customHeight="1">
      <c r="C662" s="3"/>
      <c r="D662" s="3"/>
      <c r="E662" s="3"/>
      <c r="F662" s="3"/>
      <c r="G662" s="3"/>
      <c r="I662" s="3"/>
    </row>
    <row r="663" ht="15.75" customHeight="1">
      <c r="C663" s="3"/>
      <c r="D663" s="3"/>
      <c r="E663" s="3"/>
      <c r="F663" s="3"/>
      <c r="G663" s="3"/>
      <c r="I663" s="3"/>
    </row>
    <row r="664" ht="15.75" customHeight="1">
      <c r="C664" s="3"/>
      <c r="D664" s="3"/>
      <c r="E664" s="3"/>
      <c r="F664" s="3"/>
      <c r="G664" s="3"/>
      <c r="I664" s="3"/>
    </row>
    <row r="665" ht="15.75" customHeight="1">
      <c r="C665" s="3"/>
      <c r="D665" s="3"/>
      <c r="E665" s="3"/>
      <c r="F665" s="3"/>
      <c r="G665" s="3"/>
      <c r="I665" s="3"/>
    </row>
    <row r="666" ht="15.75" customHeight="1">
      <c r="C666" s="3"/>
      <c r="D666" s="3"/>
      <c r="E666" s="3"/>
      <c r="F666" s="3"/>
      <c r="G666" s="3"/>
      <c r="I666" s="3"/>
    </row>
    <row r="667" ht="15.75" customHeight="1">
      <c r="C667" s="3"/>
      <c r="D667" s="3"/>
      <c r="E667" s="3"/>
      <c r="F667" s="3"/>
      <c r="G667" s="3"/>
      <c r="I667" s="3"/>
    </row>
    <row r="668" ht="15.75" customHeight="1">
      <c r="C668" s="3"/>
      <c r="D668" s="3"/>
      <c r="E668" s="3"/>
      <c r="F668" s="3"/>
      <c r="G668" s="3"/>
      <c r="I668" s="3"/>
    </row>
    <row r="669" ht="15.75" customHeight="1">
      <c r="C669" s="3"/>
      <c r="D669" s="3"/>
      <c r="E669" s="3"/>
      <c r="F669" s="3"/>
      <c r="G669" s="3"/>
      <c r="I669" s="3"/>
    </row>
    <row r="670" ht="15.75" customHeight="1">
      <c r="C670" s="3"/>
      <c r="D670" s="3"/>
      <c r="E670" s="3"/>
      <c r="F670" s="3"/>
      <c r="G670" s="3"/>
      <c r="I670" s="3"/>
    </row>
    <row r="671" ht="15.75" customHeight="1">
      <c r="C671" s="3"/>
      <c r="D671" s="3"/>
      <c r="E671" s="3"/>
      <c r="F671" s="3"/>
      <c r="G671" s="3"/>
      <c r="I671" s="3"/>
    </row>
    <row r="672" ht="15.75" customHeight="1">
      <c r="C672" s="3"/>
      <c r="D672" s="3"/>
      <c r="E672" s="3"/>
      <c r="F672" s="3"/>
      <c r="G672" s="3"/>
      <c r="I672" s="3"/>
    </row>
    <row r="673" ht="15.75" customHeight="1">
      <c r="C673" s="3"/>
      <c r="D673" s="3"/>
      <c r="E673" s="3"/>
      <c r="F673" s="3"/>
      <c r="G673" s="3"/>
      <c r="I673" s="3"/>
    </row>
    <row r="674" ht="15.75" customHeight="1">
      <c r="C674" s="3"/>
      <c r="D674" s="3"/>
      <c r="E674" s="3"/>
      <c r="F674" s="3"/>
      <c r="G674" s="3"/>
      <c r="I674" s="3"/>
    </row>
    <row r="675" ht="15.75" customHeight="1">
      <c r="C675" s="3"/>
      <c r="D675" s="3"/>
      <c r="E675" s="3"/>
      <c r="F675" s="3"/>
      <c r="G675" s="3"/>
      <c r="I675" s="3"/>
    </row>
    <row r="676" ht="15.75" customHeight="1">
      <c r="C676" s="3"/>
      <c r="D676" s="3"/>
      <c r="E676" s="3"/>
      <c r="F676" s="3"/>
      <c r="G676" s="3"/>
      <c r="I676" s="3"/>
    </row>
    <row r="677" ht="15.75" customHeight="1">
      <c r="C677" s="3"/>
      <c r="D677" s="3"/>
      <c r="E677" s="3"/>
      <c r="F677" s="3"/>
      <c r="G677" s="3"/>
      <c r="I677" s="3"/>
    </row>
    <row r="678" ht="15.75" customHeight="1">
      <c r="C678" s="3"/>
      <c r="D678" s="3"/>
      <c r="E678" s="3"/>
      <c r="F678" s="3"/>
      <c r="G678" s="3"/>
      <c r="I678" s="3"/>
    </row>
    <row r="679" ht="15.75" customHeight="1">
      <c r="C679" s="3"/>
      <c r="D679" s="3"/>
      <c r="E679" s="3"/>
      <c r="F679" s="3"/>
      <c r="G679" s="3"/>
      <c r="I679" s="3"/>
    </row>
    <row r="680" ht="15.75" customHeight="1">
      <c r="C680" s="3"/>
      <c r="D680" s="3"/>
      <c r="E680" s="3"/>
      <c r="F680" s="3"/>
      <c r="G680" s="3"/>
      <c r="I680" s="3"/>
    </row>
    <row r="681" ht="15.75" customHeight="1">
      <c r="C681" s="3"/>
      <c r="D681" s="3"/>
      <c r="E681" s="3"/>
      <c r="F681" s="3"/>
      <c r="G681" s="3"/>
      <c r="I681" s="3"/>
    </row>
    <row r="682" ht="15.75" customHeight="1">
      <c r="C682" s="3"/>
      <c r="D682" s="3"/>
      <c r="E682" s="3"/>
      <c r="F682" s="3"/>
      <c r="G682" s="3"/>
      <c r="I682" s="3"/>
    </row>
    <row r="683" ht="15.75" customHeight="1">
      <c r="C683" s="3"/>
      <c r="D683" s="3"/>
      <c r="E683" s="3"/>
      <c r="F683" s="3"/>
      <c r="G683" s="3"/>
      <c r="I683" s="3"/>
    </row>
    <row r="684" ht="15.75" customHeight="1">
      <c r="C684" s="3"/>
      <c r="D684" s="3"/>
      <c r="E684" s="3"/>
      <c r="F684" s="3"/>
      <c r="G684" s="3"/>
      <c r="I684" s="3"/>
    </row>
    <row r="685" ht="15.75" customHeight="1">
      <c r="C685" s="3"/>
      <c r="D685" s="3"/>
      <c r="E685" s="3"/>
      <c r="F685" s="3"/>
      <c r="G685" s="3"/>
      <c r="I685" s="3"/>
    </row>
    <row r="686" ht="15.75" customHeight="1">
      <c r="C686" s="3"/>
      <c r="D686" s="3"/>
      <c r="E686" s="3"/>
      <c r="F686" s="3"/>
      <c r="G686" s="3"/>
      <c r="I686" s="3"/>
    </row>
    <row r="687" ht="15.75" customHeight="1">
      <c r="C687" s="3"/>
      <c r="D687" s="3"/>
      <c r="E687" s="3"/>
      <c r="F687" s="3"/>
      <c r="G687" s="3"/>
      <c r="I687" s="3"/>
    </row>
    <row r="688" ht="15.75" customHeight="1">
      <c r="C688" s="3"/>
      <c r="D688" s="3"/>
      <c r="E688" s="3"/>
      <c r="F688" s="3"/>
      <c r="G688" s="3"/>
      <c r="I688" s="3"/>
    </row>
    <row r="689" ht="15.75" customHeight="1">
      <c r="C689" s="3"/>
      <c r="D689" s="3"/>
      <c r="E689" s="3"/>
      <c r="F689" s="3"/>
      <c r="G689" s="3"/>
      <c r="I689" s="3"/>
    </row>
    <row r="690" ht="15.75" customHeight="1">
      <c r="C690" s="3"/>
      <c r="D690" s="3"/>
      <c r="E690" s="3"/>
      <c r="F690" s="3"/>
      <c r="G690" s="3"/>
      <c r="I690" s="3"/>
    </row>
    <row r="691" ht="15.75" customHeight="1">
      <c r="C691" s="3"/>
      <c r="D691" s="3"/>
      <c r="E691" s="3"/>
      <c r="F691" s="3"/>
      <c r="G691" s="3"/>
      <c r="I691" s="3"/>
    </row>
    <row r="692" ht="15.75" customHeight="1">
      <c r="C692" s="3"/>
      <c r="D692" s="3"/>
      <c r="E692" s="3"/>
      <c r="F692" s="3"/>
      <c r="G692" s="3"/>
      <c r="I692" s="3"/>
    </row>
    <row r="693" ht="15.75" customHeight="1">
      <c r="C693" s="3"/>
      <c r="D693" s="3"/>
      <c r="E693" s="3"/>
      <c r="F693" s="3"/>
      <c r="G693" s="3"/>
      <c r="I693" s="3"/>
    </row>
    <row r="694" ht="15.75" customHeight="1">
      <c r="C694" s="3"/>
      <c r="D694" s="3"/>
      <c r="E694" s="3"/>
      <c r="F694" s="3"/>
      <c r="G694" s="3"/>
      <c r="I694" s="3"/>
    </row>
    <row r="695" ht="15.75" customHeight="1">
      <c r="C695" s="3"/>
      <c r="D695" s="3"/>
      <c r="E695" s="3"/>
      <c r="F695" s="3"/>
      <c r="G695" s="3"/>
      <c r="I695" s="3"/>
    </row>
    <row r="696" ht="15.75" customHeight="1">
      <c r="C696" s="3"/>
      <c r="D696" s="3"/>
      <c r="E696" s="3"/>
      <c r="F696" s="3"/>
      <c r="G696" s="3"/>
      <c r="I696" s="3"/>
    </row>
    <row r="697" ht="15.75" customHeight="1">
      <c r="C697" s="3"/>
      <c r="D697" s="3"/>
      <c r="E697" s="3"/>
      <c r="F697" s="3"/>
      <c r="G697" s="3"/>
      <c r="I697" s="3"/>
    </row>
    <row r="698" ht="15.75" customHeight="1">
      <c r="C698" s="3"/>
      <c r="D698" s="3"/>
      <c r="E698" s="3"/>
      <c r="F698" s="3"/>
      <c r="G698" s="3"/>
      <c r="I698" s="3"/>
    </row>
    <row r="699" ht="15.75" customHeight="1">
      <c r="C699" s="3"/>
      <c r="D699" s="3"/>
      <c r="E699" s="3"/>
      <c r="F699" s="3"/>
      <c r="G699" s="3"/>
      <c r="I699" s="3"/>
    </row>
    <row r="700" ht="15.75" customHeight="1">
      <c r="C700" s="3"/>
      <c r="D700" s="3"/>
      <c r="E700" s="3"/>
      <c r="F700" s="3"/>
      <c r="G700" s="3"/>
      <c r="I700" s="3"/>
    </row>
    <row r="701" ht="15.75" customHeight="1">
      <c r="C701" s="3"/>
      <c r="D701" s="3"/>
      <c r="E701" s="3"/>
      <c r="F701" s="3"/>
      <c r="G701" s="3"/>
      <c r="I701" s="3"/>
    </row>
    <row r="702" ht="15.75" customHeight="1">
      <c r="C702" s="3"/>
      <c r="D702" s="3"/>
      <c r="E702" s="3"/>
      <c r="F702" s="3"/>
      <c r="G702" s="3"/>
      <c r="I702" s="3"/>
    </row>
    <row r="703" ht="15.75" customHeight="1">
      <c r="C703" s="3"/>
      <c r="D703" s="3"/>
      <c r="E703" s="3"/>
      <c r="F703" s="3"/>
      <c r="G703" s="3"/>
      <c r="I703" s="3"/>
    </row>
    <row r="704" ht="15.75" customHeight="1">
      <c r="C704" s="3"/>
      <c r="D704" s="3"/>
      <c r="E704" s="3"/>
      <c r="F704" s="3"/>
      <c r="G704" s="3"/>
      <c r="I704" s="3"/>
    </row>
    <row r="705" ht="15.75" customHeight="1">
      <c r="C705" s="3"/>
      <c r="D705" s="3"/>
      <c r="E705" s="3"/>
      <c r="F705" s="3"/>
      <c r="G705" s="3"/>
      <c r="I705" s="3"/>
    </row>
    <row r="706" ht="15.75" customHeight="1">
      <c r="C706" s="3"/>
      <c r="D706" s="3"/>
      <c r="E706" s="3"/>
      <c r="F706" s="3"/>
      <c r="G706" s="3"/>
      <c r="I706" s="3"/>
    </row>
    <row r="707" ht="15.75" customHeight="1">
      <c r="C707" s="3"/>
      <c r="D707" s="3"/>
      <c r="E707" s="3"/>
      <c r="F707" s="3"/>
      <c r="G707" s="3"/>
      <c r="I707" s="3"/>
    </row>
    <row r="708" ht="15.75" customHeight="1">
      <c r="C708" s="3"/>
      <c r="D708" s="3"/>
      <c r="E708" s="3"/>
      <c r="F708" s="3"/>
      <c r="G708" s="3"/>
      <c r="I708" s="3"/>
    </row>
    <row r="709" ht="15.75" customHeight="1">
      <c r="C709" s="3"/>
      <c r="D709" s="3"/>
      <c r="E709" s="3"/>
      <c r="F709" s="3"/>
      <c r="G709" s="3"/>
      <c r="I709" s="3"/>
    </row>
    <row r="710" ht="15.75" customHeight="1">
      <c r="C710" s="3"/>
      <c r="D710" s="3"/>
      <c r="E710" s="3"/>
      <c r="F710" s="3"/>
      <c r="G710" s="3"/>
      <c r="I710" s="3"/>
    </row>
    <row r="711" ht="15.75" customHeight="1">
      <c r="C711" s="3"/>
      <c r="D711" s="3"/>
      <c r="E711" s="3"/>
      <c r="F711" s="3"/>
      <c r="G711" s="3"/>
      <c r="I711" s="3"/>
    </row>
    <row r="712" ht="15.75" customHeight="1">
      <c r="C712" s="3"/>
      <c r="D712" s="3"/>
      <c r="E712" s="3"/>
      <c r="F712" s="3"/>
      <c r="G712" s="3"/>
      <c r="I712" s="3"/>
    </row>
    <row r="713" ht="15.75" customHeight="1">
      <c r="C713" s="3"/>
      <c r="D713" s="3"/>
      <c r="E713" s="3"/>
      <c r="F713" s="3"/>
      <c r="G713" s="3"/>
      <c r="I713" s="3"/>
    </row>
    <row r="714" ht="15.75" customHeight="1">
      <c r="C714" s="3"/>
      <c r="D714" s="3"/>
      <c r="E714" s="3"/>
      <c r="F714" s="3"/>
      <c r="G714" s="3"/>
      <c r="I714" s="3"/>
    </row>
    <row r="715" ht="15.75" customHeight="1">
      <c r="C715" s="3"/>
      <c r="D715" s="3"/>
      <c r="E715" s="3"/>
      <c r="F715" s="3"/>
      <c r="G715" s="3"/>
      <c r="I715" s="3"/>
    </row>
    <row r="716" ht="15.75" customHeight="1">
      <c r="C716" s="3"/>
      <c r="D716" s="3"/>
      <c r="E716" s="3"/>
      <c r="F716" s="3"/>
      <c r="G716" s="3"/>
      <c r="I716" s="3"/>
    </row>
    <row r="717" ht="15.75" customHeight="1">
      <c r="C717" s="3"/>
      <c r="D717" s="3"/>
      <c r="E717" s="3"/>
      <c r="F717" s="3"/>
      <c r="G717" s="3"/>
      <c r="I717" s="3"/>
    </row>
    <row r="718" ht="15.75" customHeight="1">
      <c r="C718" s="3"/>
      <c r="D718" s="3"/>
      <c r="E718" s="3"/>
      <c r="F718" s="3"/>
      <c r="G718" s="3"/>
      <c r="I718" s="3"/>
    </row>
    <row r="719" ht="15.75" customHeight="1">
      <c r="C719" s="3"/>
      <c r="D719" s="3"/>
      <c r="E719" s="3"/>
      <c r="F719" s="3"/>
      <c r="G719" s="3"/>
      <c r="I719" s="3"/>
    </row>
    <row r="720" ht="15.75" customHeight="1">
      <c r="C720" s="3"/>
      <c r="D720" s="3"/>
      <c r="E720" s="3"/>
      <c r="F720" s="3"/>
      <c r="G720" s="3"/>
      <c r="I720" s="3"/>
    </row>
    <row r="721" ht="15.75" customHeight="1">
      <c r="C721" s="3"/>
      <c r="D721" s="3"/>
      <c r="E721" s="3"/>
      <c r="F721" s="3"/>
      <c r="G721" s="3"/>
      <c r="I721" s="3"/>
    </row>
    <row r="722" ht="15.75" customHeight="1">
      <c r="C722" s="3"/>
      <c r="D722" s="3"/>
      <c r="E722" s="3"/>
      <c r="F722" s="3"/>
      <c r="G722" s="3"/>
      <c r="I722" s="3"/>
    </row>
    <row r="723" ht="15.75" customHeight="1">
      <c r="C723" s="3"/>
      <c r="D723" s="3"/>
      <c r="E723" s="3"/>
      <c r="F723" s="3"/>
      <c r="G723" s="3"/>
      <c r="I723" s="3"/>
    </row>
    <row r="724" ht="15.75" customHeight="1">
      <c r="C724" s="3"/>
      <c r="D724" s="3"/>
      <c r="E724" s="3"/>
      <c r="F724" s="3"/>
      <c r="G724" s="3"/>
      <c r="I724" s="3"/>
    </row>
    <row r="725" ht="15.75" customHeight="1">
      <c r="C725" s="3"/>
      <c r="D725" s="3"/>
      <c r="E725" s="3"/>
      <c r="F725" s="3"/>
      <c r="G725" s="3"/>
      <c r="I725" s="3"/>
    </row>
    <row r="726" ht="15.75" customHeight="1">
      <c r="C726" s="3"/>
      <c r="D726" s="3"/>
      <c r="E726" s="3"/>
      <c r="F726" s="3"/>
      <c r="G726" s="3"/>
      <c r="I726" s="3"/>
    </row>
    <row r="727" ht="15.75" customHeight="1">
      <c r="C727" s="3"/>
      <c r="D727" s="3"/>
      <c r="E727" s="3"/>
      <c r="F727" s="3"/>
      <c r="G727" s="3"/>
      <c r="I727" s="3"/>
    </row>
    <row r="728" ht="15.75" customHeight="1">
      <c r="C728" s="3"/>
      <c r="D728" s="3"/>
      <c r="E728" s="3"/>
      <c r="F728" s="3"/>
      <c r="G728" s="3"/>
      <c r="I728" s="3"/>
    </row>
    <row r="729" ht="15.75" customHeight="1">
      <c r="C729" s="3"/>
      <c r="D729" s="3"/>
      <c r="E729" s="3"/>
      <c r="F729" s="3"/>
      <c r="G729" s="3"/>
      <c r="I729" s="3"/>
    </row>
    <row r="730" ht="15.75" customHeight="1">
      <c r="C730" s="3"/>
      <c r="D730" s="3"/>
      <c r="E730" s="3"/>
      <c r="F730" s="3"/>
      <c r="G730" s="3"/>
      <c r="I730" s="3"/>
    </row>
    <row r="731" ht="15.75" customHeight="1">
      <c r="C731" s="3"/>
      <c r="D731" s="3"/>
      <c r="E731" s="3"/>
      <c r="F731" s="3"/>
      <c r="G731" s="3"/>
      <c r="I731" s="3"/>
    </row>
    <row r="732" ht="15.75" customHeight="1">
      <c r="C732" s="3"/>
      <c r="D732" s="3"/>
      <c r="E732" s="3"/>
      <c r="F732" s="3"/>
      <c r="G732" s="3"/>
      <c r="I732" s="3"/>
    </row>
    <row r="733" ht="15.75" customHeight="1">
      <c r="C733" s="3"/>
      <c r="D733" s="3"/>
      <c r="E733" s="3"/>
      <c r="F733" s="3"/>
      <c r="G733" s="3"/>
      <c r="I733" s="3"/>
    </row>
    <row r="734" ht="15.75" customHeight="1">
      <c r="C734" s="3"/>
      <c r="D734" s="3"/>
      <c r="E734" s="3"/>
      <c r="F734" s="3"/>
      <c r="G734" s="3"/>
      <c r="I734" s="3"/>
    </row>
    <row r="735" ht="15.75" customHeight="1">
      <c r="C735" s="3"/>
      <c r="D735" s="3"/>
      <c r="E735" s="3"/>
      <c r="F735" s="3"/>
      <c r="G735" s="3"/>
      <c r="I735" s="3"/>
    </row>
    <row r="736" ht="15.75" customHeight="1">
      <c r="C736" s="3"/>
      <c r="D736" s="3"/>
      <c r="E736" s="3"/>
      <c r="F736" s="3"/>
      <c r="G736" s="3"/>
      <c r="I736" s="3"/>
    </row>
    <row r="737" ht="15.75" customHeight="1">
      <c r="C737" s="3"/>
      <c r="D737" s="3"/>
      <c r="E737" s="3"/>
      <c r="F737" s="3"/>
      <c r="G737" s="3"/>
      <c r="I737" s="3"/>
    </row>
    <row r="738" ht="15.75" customHeight="1">
      <c r="C738" s="3"/>
      <c r="D738" s="3"/>
      <c r="E738" s="3"/>
      <c r="F738" s="3"/>
      <c r="G738" s="3"/>
      <c r="I738" s="3"/>
    </row>
    <row r="739" ht="15.75" customHeight="1">
      <c r="C739" s="3"/>
      <c r="D739" s="3"/>
      <c r="E739" s="3"/>
      <c r="F739" s="3"/>
      <c r="G739" s="3"/>
      <c r="I739" s="3"/>
    </row>
    <row r="740" ht="15.75" customHeight="1">
      <c r="C740" s="3"/>
      <c r="D740" s="3"/>
      <c r="E740" s="3"/>
      <c r="F740" s="3"/>
      <c r="G740" s="3"/>
      <c r="I740" s="3"/>
    </row>
    <row r="741" ht="15.75" customHeight="1">
      <c r="C741" s="3"/>
      <c r="D741" s="3"/>
      <c r="E741" s="3"/>
      <c r="F741" s="3"/>
      <c r="G741" s="3"/>
      <c r="I741" s="3"/>
    </row>
    <row r="742" ht="15.75" customHeight="1">
      <c r="C742" s="3"/>
      <c r="D742" s="3"/>
      <c r="E742" s="3"/>
      <c r="F742" s="3"/>
      <c r="G742" s="3"/>
      <c r="I742" s="3"/>
    </row>
    <row r="743" ht="15.75" customHeight="1">
      <c r="C743" s="3"/>
      <c r="D743" s="3"/>
      <c r="E743" s="3"/>
      <c r="F743" s="3"/>
      <c r="G743" s="3"/>
      <c r="I743" s="3"/>
    </row>
    <row r="744" ht="15.75" customHeight="1">
      <c r="C744" s="3"/>
      <c r="D744" s="3"/>
      <c r="E744" s="3"/>
      <c r="F744" s="3"/>
      <c r="G744" s="3"/>
      <c r="I744" s="3"/>
    </row>
    <row r="745" ht="15.75" customHeight="1">
      <c r="C745" s="3"/>
      <c r="D745" s="3"/>
      <c r="E745" s="3"/>
      <c r="F745" s="3"/>
      <c r="G745" s="3"/>
      <c r="I745" s="3"/>
    </row>
    <row r="746" ht="15.75" customHeight="1">
      <c r="C746" s="3"/>
      <c r="D746" s="3"/>
      <c r="E746" s="3"/>
      <c r="F746" s="3"/>
      <c r="G746" s="3"/>
      <c r="I746" s="3"/>
    </row>
    <row r="747" ht="15.75" customHeight="1">
      <c r="C747" s="3"/>
      <c r="D747" s="3"/>
      <c r="E747" s="3"/>
      <c r="F747" s="3"/>
      <c r="G747" s="3"/>
      <c r="I747" s="3"/>
    </row>
    <row r="748" ht="15.75" customHeight="1">
      <c r="C748" s="3"/>
      <c r="D748" s="3"/>
      <c r="E748" s="3"/>
      <c r="F748" s="3"/>
      <c r="G748" s="3"/>
      <c r="I748" s="3"/>
    </row>
    <row r="749" ht="15.75" customHeight="1">
      <c r="C749" s="3"/>
      <c r="D749" s="3"/>
      <c r="E749" s="3"/>
      <c r="F749" s="3"/>
      <c r="G749" s="3"/>
      <c r="I749" s="3"/>
    </row>
    <row r="750" ht="15.75" customHeight="1">
      <c r="C750" s="3"/>
      <c r="D750" s="3"/>
      <c r="E750" s="3"/>
      <c r="F750" s="3"/>
      <c r="G750" s="3"/>
      <c r="I750" s="3"/>
    </row>
    <row r="751" ht="15.75" customHeight="1">
      <c r="C751" s="3"/>
      <c r="D751" s="3"/>
      <c r="E751" s="3"/>
      <c r="F751" s="3"/>
      <c r="G751" s="3"/>
      <c r="I751" s="3"/>
    </row>
    <row r="752" ht="15.75" customHeight="1">
      <c r="C752" s="3"/>
      <c r="D752" s="3"/>
      <c r="E752" s="3"/>
      <c r="F752" s="3"/>
      <c r="G752" s="3"/>
      <c r="I752" s="3"/>
    </row>
    <row r="753" ht="15.75" customHeight="1">
      <c r="C753" s="3"/>
      <c r="D753" s="3"/>
      <c r="E753" s="3"/>
      <c r="F753" s="3"/>
      <c r="G753" s="3"/>
      <c r="I753" s="3"/>
    </row>
    <row r="754" ht="15.75" customHeight="1">
      <c r="C754" s="3"/>
      <c r="D754" s="3"/>
      <c r="E754" s="3"/>
      <c r="F754" s="3"/>
      <c r="G754" s="3"/>
      <c r="I754" s="3"/>
    </row>
    <row r="755" ht="15.75" customHeight="1">
      <c r="C755" s="3"/>
      <c r="D755" s="3"/>
      <c r="E755" s="3"/>
      <c r="F755" s="3"/>
      <c r="G755" s="3"/>
      <c r="I755" s="3"/>
    </row>
    <row r="756" ht="15.75" customHeight="1">
      <c r="C756" s="3"/>
      <c r="D756" s="3"/>
      <c r="E756" s="3"/>
      <c r="F756" s="3"/>
      <c r="G756" s="3"/>
      <c r="I756" s="3"/>
    </row>
    <row r="757" ht="15.75" customHeight="1">
      <c r="C757" s="3"/>
      <c r="D757" s="3"/>
      <c r="E757" s="3"/>
      <c r="F757" s="3"/>
      <c r="G757" s="3"/>
      <c r="I757" s="3"/>
    </row>
    <row r="758" ht="15.75" customHeight="1">
      <c r="C758" s="3"/>
      <c r="D758" s="3"/>
      <c r="E758" s="3"/>
      <c r="F758" s="3"/>
      <c r="G758" s="3"/>
      <c r="I758" s="3"/>
    </row>
    <row r="759" ht="15.75" customHeight="1">
      <c r="C759" s="3"/>
      <c r="D759" s="3"/>
      <c r="E759" s="3"/>
      <c r="F759" s="3"/>
      <c r="G759" s="3"/>
      <c r="I759" s="3"/>
    </row>
    <row r="760" ht="15.75" customHeight="1">
      <c r="C760" s="3"/>
      <c r="D760" s="3"/>
      <c r="E760" s="3"/>
      <c r="F760" s="3"/>
      <c r="G760" s="3"/>
      <c r="I760" s="3"/>
    </row>
    <row r="761" ht="15.75" customHeight="1">
      <c r="C761" s="3"/>
      <c r="D761" s="3"/>
      <c r="E761" s="3"/>
      <c r="F761" s="3"/>
      <c r="G761" s="3"/>
      <c r="I761" s="3"/>
    </row>
    <row r="762" ht="15.75" customHeight="1">
      <c r="C762" s="3"/>
      <c r="D762" s="3"/>
      <c r="E762" s="3"/>
      <c r="F762" s="3"/>
      <c r="G762" s="3"/>
      <c r="I762" s="3"/>
    </row>
    <row r="763" ht="15.75" customHeight="1">
      <c r="C763" s="3"/>
      <c r="D763" s="3"/>
      <c r="E763" s="3"/>
      <c r="F763" s="3"/>
      <c r="G763" s="3"/>
      <c r="I763" s="3"/>
    </row>
    <row r="764" ht="15.75" customHeight="1">
      <c r="C764" s="3"/>
      <c r="D764" s="3"/>
      <c r="E764" s="3"/>
      <c r="F764" s="3"/>
      <c r="G764" s="3"/>
      <c r="I764" s="3"/>
    </row>
    <row r="765" ht="15.75" customHeight="1">
      <c r="C765" s="3"/>
      <c r="D765" s="3"/>
      <c r="E765" s="3"/>
      <c r="F765" s="3"/>
      <c r="G765" s="3"/>
      <c r="I765" s="3"/>
    </row>
    <row r="766" ht="15.75" customHeight="1">
      <c r="C766" s="3"/>
      <c r="D766" s="3"/>
      <c r="E766" s="3"/>
      <c r="F766" s="3"/>
      <c r="G766" s="3"/>
      <c r="I766" s="3"/>
    </row>
    <row r="767" ht="15.75" customHeight="1">
      <c r="C767" s="3"/>
      <c r="D767" s="3"/>
      <c r="E767" s="3"/>
      <c r="F767" s="3"/>
      <c r="G767" s="3"/>
      <c r="I767" s="3"/>
    </row>
    <row r="768" ht="15.75" customHeight="1">
      <c r="C768" s="3"/>
      <c r="D768" s="3"/>
      <c r="E768" s="3"/>
      <c r="F768" s="3"/>
      <c r="G768" s="3"/>
      <c r="I768" s="3"/>
    </row>
    <row r="769" ht="15.75" customHeight="1">
      <c r="C769" s="3"/>
      <c r="D769" s="3"/>
      <c r="E769" s="3"/>
      <c r="F769" s="3"/>
      <c r="G769" s="3"/>
      <c r="I769" s="3"/>
    </row>
    <row r="770" ht="15.75" customHeight="1">
      <c r="C770" s="3"/>
      <c r="D770" s="3"/>
      <c r="E770" s="3"/>
      <c r="F770" s="3"/>
      <c r="G770" s="3"/>
      <c r="I770" s="3"/>
    </row>
    <row r="771" ht="15.75" customHeight="1">
      <c r="C771" s="3"/>
      <c r="D771" s="3"/>
      <c r="E771" s="3"/>
      <c r="F771" s="3"/>
      <c r="G771" s="3"/>
      <c r="I771" s="3"/>
    </row>
    <row r="772" ht="15.75" customHeight="1">
      <c r="C772" s="3"/>
      <c r="D772" s="3"/>
      <c r="E772" s="3"/>
      <c r="F772" s="3"/>
      <c r="G772" s="3"/>
      <c r="I772" s="3"/>
    </row>
    <row r="773" ht="15.75" customHeight="1">
      <c r="C773" s="3"/>
      <c r="D773" s="3"/>
      <c r="E773" s="3"/>
      <c r="F773" s="3"/>
      <c r="G773" s="3"/>
      <c r="I773" s="3"/>
    </row>
    <row r="774" ht="15.75" customHeight="1">
      <c r="C774" s="3"/>
      <c r="D774" s="3"/>
      <c r="E774" s="3"/>
      <c r="F774" s="3"/>
      <c r="G774" s="3"/>
      <c r="I774" s="3"/>
    </row>
    <row r="775" ht="15.75" customHeight="1">
      <c r="C775" s="3"/>
      <c r="D775" s="3"/>
      <c r="E775" s="3"/>
      <c r="F775" s="3"/>
      <c r="G775" s="3"/>
      <c r="I775" s="3"/>
    </row>
    <row r="776" ht="15.75" customHeight="1">
      <c r="C776" s="3"/>
      <c r="D776" s="3"/>
      <c r="E776" s="3"/>
      <c r="F776" s="3"/>
      <c r="G776" s="3"/>
      <c r="I776" s="3"/>
    </row>
    <row r="777" ht="15.75" customHeight="1">
      <c r="C777" s="3"/>
      <c r="D777" s="3"/>
      <c r="E777" s="3"/>
      <c r="F777" s="3"/>
      <c r="G777" s="3"/>
      <c r="I777" s="3"/>
    </row>
    <row r="778" ht="15.75" customHeight="1">
      <c r="C778" s="3"/>
      <c r="D778" s="3"/>
      <c r="E778" s="3"/>
      <c r="F778" s="3"/>
      <c r="G778" s="3"/>
      <c r="I778" s="3"/>
    </row>
    <row r="779" ht="15.75" customHeight="1">
      <c r="C779" s="3"/>
      <c r="D779" s="3"/>
      <c r="E779" s="3"/>
      <c r="F779" s="3"/>
      <c r="G779" s="3"/>
      <c r="I779" s="3"/>
    </row>
    <row r="780" ht="15.75" customHeight="1">
      <c r="C780" s="3"/>
      <c r="D780" s="3"/>
      <c r="E780" s="3"/>
      <c r="F780" s="3"/>
      <c r="G780" s="3"/>
      <c r="I780" s="3"/>
    </row>
    <row r="781" ht="15.75" customHeight="1">
      <c r="C781" s="3"/>
      <c r="D781" s="3"/>
      <c r="E781" s="3"/>
      <c r="F781" s="3"/>
      <c r="G781" s="3"/>
      <c r="I781" s="3"/>
    </row>
    <row r="782" ht="15.75" customHeight="1">
      <c r="C782" s="3"/>
      <c r="D782" s="3"/>
      <c r="E782" s="3"/>
      <c r="F782" s="3"/>
      <c r="G782" s="3"/>
      <c r="I782" s="3"/>
    </row>
    <row r="783" ht="15.75" customHeight="1">
      <c r="C783" s="3"/>
      <c r="D783" s="3"/>
      <c r="E783" s="3"/>
      <c r="F783" s="3"/>
      <c r="G783" s="3"/>
      <c r="I783" s="3"/>
    </row>
    <row r="784" ht="15.75" customHeight="1">
      <c r="C784" s="3"/>
      <c r="D784" s="3"/>
      <c r="E784" s="3"/>
      <c r="F784" s="3"/>
      <c r="G784" s="3"/>
      <c r="I784" s="3"/>
    </row>
    <row r="785" ht="15.75" customHeight="1">
      <c r="C785" s="3"/>
      <c r="D785" s="3"/>
      <c r="E785" s="3"/>
      <c r="F785" s="3"/>
      <c r="G785" s="3"/>
      <c r="I785" s="3"/>
    </row>
    <row r="786" ht="15.75" customHeight="1">
      <c r="C786" s="3"/>
      <c r="D786" s="3"/>
      <c r="E786" s="3"/>
      <c r="F786" s="3"/>
      <c r="G786" s="3"/>
      <c r="I786" s="3"/>
    </row>
    <row r="787" ht="15.75" customHeight="1">
      <c r="C787" s="3"/>
      <c r="D787" s="3"/>
      <c r="E787" s="3"/>
      <c r="F787" s="3"/>
      <c r="G787" s="3"/>
      <c r="I787" s="3"/>
    </row>
    <row r="788" ht="15.75" customHeight="1">
      <c r="C788" s="3"/>
      <c r="D788" s="3"/>
      <c r="E788" s="3"/>
      <c r="F788" s="3"/>
      <c r="G788" s="3"/>
      <c r="I788" s="3"/>
    </row>
    <row r="789" ht="15.75" customHeight="1">
      <c r="C789" s="3"/>
      <c r="D789" s="3"/>
      <c r="E789" s="3"/>
      <c r="F789" s="3"/>
      <c r="G789" s="3"/>
      <c r="I789" s="3"/>
    </row>
    <row r="790" ht="15.75" customHeight="1">
      <c r="C790" s="3"/>
      <c r="D790" s="3"/>
      <c r="E790" s="3"/>
      <c r="F790" s="3"/>
      <c r="G790" s="3"/>
      <c r="I790" s="3"/>
    </row>
    <row r="791" ht="15.75" customHeight="1">
      <c r="C791" s="3"/>
      <c r="D791" s="3"/>
      <c r="E791" s="3"/>
      <c r="F791" s="3"/>
      <c r="G791" s="3"/>
      <c r="I791" s="3"/>
    </row>
    <row r="792" ht="15.75" customHeight="1">
      <c r="C792" s="3"/>
      <c r="D792" s="3"/>
      <c r="E792" s="3"/>
      <c r="F792" s="3"/>
      <c r="G792" s="3"/>
      <c r="I792" s="3"/>
    </row>
    <row r="793" ht="15.75" customHeight="1">
      <c r="C793" s="3"/>
      <c r="D793" s="3"/>
      <c r="E793" s="3"/>
      <c r="F793" s="3"/>
      <c r="G793" s="3"/>
      <c r="I793" s="3"/>
    </row>
    <row r="794" ht="15.75" customHeight="1">
      <c r="C794" s="3"/>
      <c r="D794" s="3"/>
      <c r="E794" s="3"/>
      <c r="F794" s="3"/>
      <c r="G794" s="3"/>
      <c r="I794" s="3"/>
    </row>
    <row r="795" ht="15.75" customHeight="1">
      <c r="C795" s="3"/>
      <c r="D795" s="3"/>
      <c r="E795" s="3"/>
      <c r="F795" s="3"/>
      <c r="G795" s="3"/>
      <c r="I795" s="3"/>
    </row>
    <row r="796" ht="15.75" customHeight="1">
      <c r="C796" s="3"/>
      <c r="D796" s="3"/>
      <c r="E796" s="3"/>
      <c r="F796" s="3"/>
      <c r="G796" s="3"/>
      <c r="I796" s="3"/>
    </row>
    <row r="797" ht="15.75" customHeight="1">
      <c r="C797" s="3"/>
      <c r="D797" s="3"/>
      <c r="E797" s="3"/>
      <c r="F797" s="3"/>
      <c r="G797" s="3"/>
      <c r="I797" s="3"/>
    </row>
    <row r="798" ht="15.75" customHeight="1">
      <c r="C798" s="3"/>
      <c r="D798" s="3"/>
      <c r="E798" s="3"/>
      <c r="F798" s="3"/>
      <c r="G798" s="3"/>
      <c r="I798" s="3"/>
    </row>
    <row r="799" ht="15.75" customHeight="1">
      <c r="C799" s="3"/>
      <c r="D799" s="3"/>
      <c r="E799" s="3"/>
      <c r="F799" s="3"/>
      <c r="G799" s="3"/>
      <c r="I799" s="3"/>
    </row>
    <row r="800" ht="15.75" customHeight="1">
      <c r="C800" s="3"/>
      <c r="D800" s="3"/>
      <c r="E800" s="3"/>
      <c r="F800" s="3"/>
      <c r="G800" s="3"/>
      <c r="I800" s="3"/>
    </row>
    <row r="801" ht="15.75" customHeight="1">
      <c r="C801" s="3"/>
      <c r="D801" s="3"/>
      <c r="E801" s="3"/>
      <c r="F801" s="3"/>
      <c r="G801" s="3"/>
      <c r="I801" s="3"/>
    </row>
    <row r="802" ht="15.75" customHeight="1">
      <c r="C802" s="3"/>
      <c r="D802" s="3"/>
      <c r="E802" s="3"/>
      <c r="F802" s="3"/>
      <c r="G802" s="3"/>
      <c r="I802" s="3"/>
    </row>
    <row r="803" ht="15.75" customHeight="1">
      <c r="C803" s="3"/>
      <c r="D803" s="3"/>
      <c r="E803" s="3"/>
      <c r="F803" s="3"/>
      <c r="G803" s="3"/>
      <c r="I803" s="3"/>
    </row>
    <row r="804" ht="15.75" customHeight="1">
      <c r="C804" s="3"/>
      <c r="D804" s="3"/>
      <c r="E804" s="3"/>
      <c r="F804" s="3"/>
      <c r="G804" s="3"/>
      <c r="I804" s="3"/>
    </row>
    <row r="805" ht="15.75" customHeight="1">
      <c r="C805" s="3"/>
      <c r="D805" s="3"/>
      <c r="E805" s="3"/>
      <c r="F805" s="3"/>
      <c r="G805" s="3"/>
      <c r="I805" s="3"/>
    </row>
    <row r="806" ht="15.75" customHeight="1">
      <c r="C806" s="3"/>
      <c r="D806" s="3"/>
      <c r="E806" s="3"/>
      <c r="F806" s="3"/>
      <c r="G806" s="3"/>
      <c r="I806" s="3"/>
    </row>
    <row r="807" ht="15.75" customHeight="1">
      <c r="C807" s="3"/>
      <c r="D807" s="3"/>
      <c r="E807" s="3"/>
      <c r="F807" s="3"/>
      <c r="G807" s="3"/>
      <c r="I807" s="3"/>
    </row>
    <row r="808" ht="15.75" customHeight="1">
      <c r="C808" s="3"/>
      <c r="D808" s="3"/>
      <c r="E808" s="3"/>
      <c r="F808" s="3"/>
      <c r="G808" s="3"/>
      <c r="I808" s="3"/>
    </row>
    <row r="809" ht="15.75" customHeight="1">
      <c r="C809" s="3"/>
      <c r="D809" s="3"/>
      <c r="E809" s="3"/>
      <c r="F809" s="3"/>
      <c r="G809" s="3"/>
      <c r="I809" s="3"/>
    </row>
    <row r="810" ht="15.75" customHeight="1">
      <c r="C810" s="3"/>
      <c r="D810" s="3"/>
      <c r="E810" s="3"/>
      <c r="F810" s="3"/>
      <c r="G810" s="3"/>
      <c r="I810" s="3"/>
    </row>
    <row r="811" ht="15.75" customHeight="1">
      <c r="C811" s="3"/>
      <c r="D811" s="3"/>
      <c r="E811" s="3"/>
      <c r="F811" s="3"/>
      <c r="G811" s="3"/>
      <c r="I811" s="3"/>
    </row>
    <row r="812" ht="15.75" customHeight="1">
      <c r="C812" s="3"/>
      <c r="D812" s="3"/>
      <c r="E812" s="3"/>
      <c r="F812" s="3"/>
      <c r="G812" s="3"/>
      <c r="I812" s="3"/>
    </row>
    <row r="813" ht="15.75" customHeight="1">
      <c r="C813" s="3"/>
      <c r="D813" s="3"/>
      <c r="E813" s="3"/>
      <c r="F813" s="3"/>
      <c r="G813" s="3"/>
      <c r="I813" s="3"/>
    </row>
    <row r="814" ht="15.75" customHeight="1">
      <c r="C814" s="3"/>
      <c r="D814" s="3"/>
      <c r="E814" s="3"/>
      <c r="F814" s="3"/>
      <c r="G814" s="3"/>
      <c r="I814" s="3"/>
    </row>
    <row r="815" ht="15.75" customHeight="1">
      <c r="C815" s="3"/>
      <c r="D815" s="3"/>
      <c r="E815" s="3"/>
      <c r="F815" s="3"/>
      <c r="G815" s="3"/>
      <c r="I815" s="3"/>
    </row>
    <row r="816" ht="15.75" customHeight="1">
      <c r="C816" s="3"/>
      <c r="D816" s="3"/>
      <c r="E816" s="3"/>
      <c r="F816" s="3"/>
      <c r="G816" s="3"/>
      <c r="I816" s="3"/>
    </row>
    <row r="817" ht="15.75" customHeight="1">
      <c r="C817" s="3"/>
      <c r="D817" s="3"/>
      <c r="E817" s="3"/>
      <c r="F817" s="3"/>
      <c r="G817" s="3"/>
      <c r="I817" s="3"/>
    </row>
    <row r="818" ht="15.75" customHeight="1">
      <c r="C818" s="3"/>
      <c r="D818" s="3"/>
      <c r="E818" s="3"/>
      <c r="F818" s="3"/>
      <c r="G818" s="3"/>
      <c r="I818" s="3"/>
    </row>
    <row r="819" ht="15.75" customHeight="1">
      <c r="C819" s="3"/>
      <c r="D819" s="3"/>
      <c r="E819" s="3"/>
      <c r="F819" s="3"/>
      <c r="G819" s="3"/>
      <c r="I819" s="3"/>
    </row>
    <row r="820" ht="15.75" customHeight="1">
      <c r="C820" s="3"/>
      <c r="D820" s="3"/>
      <c r="E820" s="3"/>
      <c r="F820" s="3"/>
      <c r="G820" s="3"/>
      <c r="I820" s="3"/>
    </row>
    <row r="821" ht="15.75" customHeight="1">
      <c r="C821" s="3"/>
      <c r="D821" s="3"/>
      <c r="E821" s="3"/>
      <c r="F821" s="3"/>
      <c r="G821" s="3"/>
      <c r="I821" s="3"/>
    </row>
    <row r="822" ht="15.75" customHeight="1">
      <c r="C822" s="3"/>
      <c r="D822" s="3"/>
      <c r="E822" s="3"/>
      <c r="F822" s="3"/>
      <c r="G822" s="3"/>
      <c r="I822" s="3"/>
    </row>
    <row r="823" ht="15.75" customHeight="1">
      <c r="C823" s="3"/>
      <c r="D823" s="3"/>
      <c r="E823" s="3"/>
      <c r="F823" s="3"/>
      <c r="G823" s="3"/>
      <c r="I823" s="3"/>
    </row>
    <row r="824" ht="15.75" customHeight="1">
      <c r="C824" s="3"/>
      <c r="D824" s="3"/>
      <c r="E824" s="3"/>
      <c r="F824" s="3"/>
      <c r="G824" s="3"/>
      <c r="I824" s="3"/>
    </row>
    <row r="825" ht="15.75" customHeight="1">
      <c r="C825" s="3"/>
      <c r="D825" s="3"/>
      <c r="E825" s="3"/>
      <c r="F825" s="3"/>
      <c r="G825" s="3"/>
      <c r="I825" s="3"/>
    </row>
    <row r="826" ht="15.75" customHeight="1">
      <c r="C826" s="3"/>
      <c r="D826" s="3"/>
      <c r="E826" s="3"/>
      <c r="F826" s="3"/>
      <c r="G826" s="3"/>
      <c r="I826" s="3"/>
    </row>
    <row r="827" ht="15.75" customHeight="1">
      <c r="C827" s="3"/>
      <c r="D827" s="3"/>
      <c r="E827" s="3"/>
      <c r="F827" s="3"/>
      <c r="G827" s="3"/>
      <c r="I827" s="3"/>
    </row>
    <row r="828" ht="15.75" customHeight="1">
      <c r="C828" s="3"/>
      <c r="D828" s="3"/>
      <c r="E828" s="3"/>
      <c r="F828" s="3"/>
      <c r="G828" s="3"/>
      <c r="I828" s="3"/>
    </row>
    <row r="829" ht="15.75" customHeight="1">
      <c r="C829" s="3"/>
      <c r="D829" s="3"/>
      <c r="E829" s="3"/>
      <c r="F829" s="3"/>
      <c r="G829" s="3"/>
      <c r="I829" s="3"/>
    </row>
    <row r="830" ht="15.75" customHeight="1">
      <c r="C830" s="3"/>
      <c r="D830" s="3"/>
      <c r="E830" s="3"/>
      <c r="F830" s="3"/>
      <c r="G830" s="3"/>
      <c r="I830" s="3"/>
    </row>
    <row r="831" ht="15.75" customHeight="1">
      <c r="C831" s="3"/>
      <c r="D831" s="3"/>
      <c r="E831" s="3"/>
      <c r="F831" s="3"/>
      <c r="G831" s="3"/>
      <c r="I831" s="3"/>
    </row>
    <row r="832" ht="15.75" customHeight="1">
      <c r="C832" s="3"/>
      <c r="D832" s="3"/>
      <c r="E832" s="3"/>
      <c r="F832" s="3"/>
      <c r="G832" s="3"/>
      <c r="I832" s="3"/>
    </row>
    <row r="833" ht="15.75" customHeight="1">
      <c r="C833" s="3"/>
      <c r="D833" s="3"/>
      <c r="E833" s="3"/>
      <c r="F833" s="3"/>
      <c r="G833" s="3"/>
      <c r="I833" s="3"/>
    </row>
    <row r="834" ht="15.75" customHeight="1">
      <c r="C834" s="3"/>
      <c r="D834" s="3"/>
      <c r="E834" s="3"/>
      <c r="F834" s="3"/>
      <c r="G834" s="3"/>
      <c r="I834" s="3"/>
    </row>
    <row r="835" ht="15.75" customHeight="1">
      <c r="C835" s="3"/>
      <c r="D835" s="3"/>
      <c r="E835" s="3"/>
      <c r="F835" s="3"/>
      <c r="G835" s="3"/>
      <c r="I835" s="3"/>
    </row>
    <row r="836" ht="15.75" customHeight="1">
      <c r="C836" s="3"/>
      <c r="D836" s="3"/>
      <c r="E836" s="3"/>
      <c r="F836" s="3"/>
      <c r="G836" s="3"/>
      <c r="I836" s="3"/>
    </row>
    <row r="837" ht="15.75" customHeight="1">
      <c r="C837" s="3"/>
      <c r="D837" s="3"/>
      <c r="E837" s="3"/>
      <c r="F837" s="3"/>
      <c r="G837" s="3"/>
      <c r="I837" s="3"/>
    </row>
    <row r="838" ht="15.75" customHeight="1">
      <c r="C838" s="3"/>
      <c r="D838" s="3"/>
      <c r="E838" s="3"/>
      <c r="F838" s="3"/>
      <c r="G838" s="3"/>
      <c r="I838" s="3"/>
    </row>
    <row r="839" ht="15.75" customHeight="1">
      <c r="C839" s="3"/>
      <c r="D839" s="3"/>
      <c r="E839" s="3"/>
      <c r="F839" s="3"/>
      <c r="G839" s="3"/>
      <c r="I839" s="3"/>
    </row>
    <row r="840" ht="15.75" customHeight="1">
      <c r="C840" s="3"/>
      <c r="D840" s="3"/>
      <c r="E840" s="3"/>
      <c r="F840" s="3"/>
      <c r="G840" s="3"/>
      <c r="I840" s="3"/>
    </row>
    <row r="841" ht="15.75" customHeight="1">
      <c r="C841" s="3"/>
      <c r="D841" s="3"/>
      <c r="E841" s="3"/>
      <c r="F841" s="3"/>
      <c r="G841" s="3"/>
      <c r="I841" s="3"/>
    </row>
    <row r="842" ht="15.75" customHeight="1">
      <c r="C842" s="3"/>
      <c r="D842" s="3"/>
      <c r="E842" s="3"/>
      <c r="F842" s="3"/>
      <c r="G842" s="3"/>
      <c r="I842" s="3"/>
    </row>
    <row r="843" ht="15.75" customHeight="1">
      <c r="C843" s="3"/>
      <c r="D843" s="3"/>
      <c r="E843" s="3"/>
      <c r="F843" s="3"/>
      <c r="G843" s="3"/>
      <c r="I843" s="3"/>
    </row>
    <row r="844" ht="15.75" customHeight="1">
      <c r="C844" s="3"/>
      <c r="D844" s="3"/>
      <c r="E844" s="3"/>
      <c r="F844" s="3"/>
      <c r="G844" s="3"/>
      <c r="I844" s="3"/>
    </row>
    <row r="845" ht="15.75" customHeight="1">
      <c r="C845" s="3"/>
      <c r="D845" s="3"/>
      <c r="E845" s="3"/>
      <c r="F845" s="3"/>
      <c r="G845" s="3"/>
      <c r="I845" s="3"/>
    </row>
    <row r="846" ht="15.75" customHeight="1">
      <c r="C846" s="3"/>
      <c r="D846" s="3"/>
      <c r="E846" s="3"/>
      <c r="F846" s="3"/>
      <c r="G846" s="3"/>
      <c r="I846" s="3"/>
    </row>
    <row r="847" ht="15.75" customHeight="1">
      <c r="C847" s="3"/>
      <c r="D847" s="3"/>
      <c r="E847" s="3"/>
      <c r="F847" s="3"/>
      <c r="G847" s="3"/>
      <c r="I847" s="3"/>
    </row>
    <row r="848" ht="15.75" customHeight="1">
      <c r="C848" s="3"/>
      <c r="D848" s="3"/>
      <c r="E848" s="3"/>
      <c r="F848" s="3"/>
      <c r="G848" s="3"/>
      <c r="I848" s="3"/>
    </row>
    <row r="849" ht="15.75" customHeight="1">
      <c r="C849" s="3"/>
      <c r="D849" s="3"/>
      <c r="E849" s="3"/>
      <c r="F849" s="3"/>
      <c r="G849" s="3"/>
      <c r="I849" s="3"/>
    </row>
    <row r="850" ht="15.75" customHeight="1">
      <c r="C850" s="3"/>
      <c r="D850" s="3"/>
      <c r="E850" s="3"/>
      <c r="F850" s="3"/>
      <c r="G850" s="3"/>
      <c r="I850" s="3"/>
    </row>
    <row r="851" ht="15.75" customHeight="1">
      <c r="C851" s="3"/>
      <c r="D851" s="3"/>
      <c r="E851" s="3"/>
      <c r="F851" s="3"/>
      <c r="G851" s="3"/>
      <c r="I851" s="3"/>
    </row>
    <row r="852" ht="15.75" customHeight="1">
      <c r="C852" s="3"/>
      <c r="D852" s="3"/>
      <c r="E852" s="3"/>
      <c r="F852" s="3"/>
      <c r="G852" s="3"/>
      <c r="I852" s="3"/>
    </row>
    <row r="853" ht="15.75" customHeight="1">
      <c r="C853" s="3"/>
      <c r="D853" s="3"/>
      <c r="E853" s="3"/>
      <c r="F853" s="3"/>
      <c r="G853" s="3"/>
      <c r="I853" s="3"/>
    </row>
    <row r="854" ht="15.75" customHeight="1">
      <c r="C854" s="3"/>
      <c r="D854" s="3"/>
      <c r="E854" s="3"/>
      <c r="F854" s="3"/>
      <c r="G854" s="3"/>
      <c r="I854" s="3"/>
    </row>
    <row r="855" ht="15.75" customHeight="1">
      <c r="C855" s="3"/>
      <c r="D855" s="3"/>
      <c r="E855" s="3"/>
      <c r="F855" s="3"/>
      <c r="G855" s="3"/>
      <c r="I855" s="3"/>
    </row>
    <row r="856" ht="15.75" customHeight="1">
      <c r="C856" s="3"/>
      <c r="D856" s="3"/>
      <c r="E856" s="3"/>
      <c r="F856" s="3"/>
      <c r="G856" s="3"/>
      <c r="I856" s="3"/>
    </row>
    <row r="857" ht="15.75" customHeight="1">
      <c r="C857" s="3"/>
      <c r="D857" s="3"/>
      <c r="E857" s="3"/>
      <c r="F857" s="3"/>
      <c r="G857" s="3"/>
      <c r="I857" s="3"/>
    </row>
    <row r="858" ht="15.75" customHeight="1">
      <c r="C858" s="3"/>
      <c r="D858" s="3"/>
      <c r="E858" s="3"/>
      <c r="F858" s="3"/>
      <c r="G858" s="3"/>
      <c r="I858" s="3"/>
    </row>
    <row r="859" ht="15.75" customHeight="1">
      <c r="C859" s="3"/>
      <c r="D859" s="3"/>
      <c r="E859" s="3"/>
      <c r="F859" s="3"/>
      <c r="G859" s="3"/>
      <c r="I859" s="3"/>
    </row>
    <row r="860" ht="15.75" customHeight="1">
      <c r="C860" s="3"/>
      <c r="D860" s="3"/>
      <c r="E860" s="3"/>
      <c r="F860" s="3"/>
      <c r="G860" s="3"/>
      <c r="I860" s="3"/>
    </row>
    <row r="861" ht="15.75" customHeight="1">
      <c r="C861" s="3"/>
      <c r="D861" s="3"/>
      <c r="E861" s="3"/>
      <c r="F861" s="3"/>
      <c r="G861" s="3"/>
      <c r="I861" s="3"/>
    </row>
    <row r="862" ht="15.75" customHeight="1">
      <c r="C862" s="3"/>
      <c r="D862" s="3"/>
      <c r="E862" s="3"/>
      <c r="F862" s="3"/>
      <c r="G862" s="3"/>
      <c r="I862" s="3"/>
    </row>
    <row r="863" ht="15.75" customHeight="1">
      <c r="C863" s="3"/>
      <c r="D863" s="3"/>
      <c r="E863" s="3"/>
      <c r="F863" s="3"/>
      <c r="G863" s="3"/>
      <c r="I863" s="3"/>
    </row>
    <row r="864" ht="15.75" customHeight="1">
      <c r="C864" s="3"/>
      <c r="D864" s="3"/>
      <c r="E864" s="3"/>
      <c r="F864" s="3"/>
      <c r="G864" s="3"/>
      <c r="I864" s="3"/>
    </row>
    <row r="865" ht="15.75" customHeight="1">
      <c r="C865" s="3"/>
      <c r="D865" s="3"/>
      <c r="E865" s="3"/>
      <c r="F865" s="3"/>
      <c r="G865" s="3"/>
      <c r="I865" s="3"/>
    </row>
    <row r="866" ht="15.75" customHeight="1">
      <c r="C866" s="3"/>
      <c r="D866" s="3"/>
      <c r="E866" s="3"/>
      <c r="F866" s="3"/>
      <c r="G866" s="3"/>
      <c r="I866" s="3"/>
    </row>
    <row r="867" ht="15.75" customHeight="1">
      <c r="C867" s="3"/>
      <c r="D867" s="3"/>
      <c r="E867" s="3"/>
      <c r="F867" s="3"/>
      <c r="G867" s="3"/>
      <c r="I867" s="3"/>
    </row>
    <row r="868" ht="15.75" customHeight="1">
      <c r="C868" s="3"/>
      <c r="D868" s="3"/>
      <c r="E868" s="3"/>
      <c r="F868" s="3"/>
      <c r="G868" s="3"/>
      <c r="I868" s="3"/>
    </row>
    <row r="869" ht="15.75" customHeight="1">
      <c r="C869" s="3"/>
      <c r="D869" s="3"/>
      <c r="E869" s="3"/>
      <c r="F869" s="3"/>
      <c r="G869" s="3"/>
      <c r="I869" s="3"/>
    </row>
    <row r="870" ht="15.75" customHeight="1">
      <c r="C870" s="3"/>
      <c r="D870" s="3"/>
      <c r="E870" s="3"/>
      <c r="F870" s="3"/>
      <c r="G870" s="3"/>
      <c r="I870" s="3"/>
    </row>
    <row r="871" ht="15.75" customHeight="1">
      <c r="C871" s="3"/>
      <c r="D871" s="3"/>
      <c r="E871" s="3"/>
      <c r="F871" s="3"/>
      <c r="G871" s="3"/>
      <c r="I871" s="3"/>
    </row>
    <row r="872" ht="15.75" customHeight="1">
      <c r="C872" s="3"/>
      <c r="D872" s="3"/>
      <c r="E872" s="3"/>
      <c r="F872" s="3"/>
      <c r="G872" s="3"/>
      <c r="I872" s="3"/>
    </row>
    <row r="873" ht="15.75" customHeight="1">
      <c r="C873" s="3"/>
      <c r="D873" s="3"/>
      <c r="E873" s="3"/>
      <c r="F873" s="3"/>
      <c r="G873" s="3"/>
      <c r="I873" s="3"/>
    </row>
    <row r="874" ht="15.75" customHeight="1">
      <c r="C874" s="3"/>
      <c r="D874" s="3"/>
      <c r="E874" s="3"/>
      <c r="F874" s="3"/>
      <c r="G874" s="3"/>
      <c r="I874" s="3"/>
    </row>
    <row r="875" ht="15.75" customHeight="1">
      <c r="C875" s="3"/>
      <c r="D875" s="3"/>
      <c r="E875" s="3"/>
      <c r="F875" s="3"/>
      <c r="G875" s="3"/>
      <c r="I875" s="3"/>
    </row>
    <row r="876" ht="15.75" customHeight="1">
      <c r="C876" s="3"/>
      <c r="D876" s="3"/>
      <c r="E876" s="3"/>
      <c r="F876" s="3"/>
      <c r="G876" s="3"/>
      <c r="I876" s="3"/>
    </row>
    <row r="877" ht="15.75" customHeight="1">
      <c r="C877" s="3"/>
      <c r="D877" s="3"/>
      <c r="E877" s="3"/>
      <c r="F877" s="3"/>
      <c r="G877" s="3"/>
      <c r="I877" s="3"/>
    </row>
    <row r="878" ht="15.75" customHeight="1">
      <c r="C878" s="3"/>
      <c r="D878" s="3"/>
      <c r="E878" s="3"/>
      <c r="F878" s="3"/>
      <c r="G878" s="3"/>
      <c r="I878" s="3"/>
    </row>
    <row r="879" ht="15.75" customHeight="1">
      <c r="C879" s="3"/>
      <c r="D879" s="3"/>
      <c r="E879" s="3"/>
      <c r="F879" s="3"/>
      <c r="G879" s="3"/>
      <c r="I879" s="3"/>
    </row>
    <row r="880" ht="15.75" customHeight="1">
      <c r="C880" s="3"/>
      <c r="D880" s="3"/>
      <c r="E880" s="3"/>
      <c r="F880" s="3"/>
      <c r="G880" s="3"/>
      <c r="I880" s="3"/>
    </row>
    <row r="881" ht="15.75" customHeight="1">
      <c r="C881" s="3"/>
      <c r="D881" s="3"/>
      <c r="E881" s="3"/>
      <c r="F881" s="3"/>
      <c r="G881" s="3"/>
      <c r="I881" s="3"/>
    </row>
    <row r="882" ht="15.75" customHeight="1">
      <c r="C882" s="3"/>
      <c r="D882" s="3"/>
      <c r="E882" s="3"/>
      <c r="F882" s="3"/>
      <c r="G882" s="3"/>
      <c r="I882" s="3"/>
    </row>
    <row r="883" ht="15.75" customHeight="1">
      <c r="C883" s="3"/>
      <c r="D883" s="3"/>
      <c r="E883" s="3"/>
      <c r="F883" s="3"/>
      <c r="G883" s="3"/>
      <c r="I883" s="3"/>
    </row>
    <row r="884" ht="15.75" customHeight="1">
      <c r="C884" s="3"/>
      <c r="D884" s="3"/>
      <c r="E884" s="3"/>
      <c r="F884" s="3"/>
      <c r="G884" s="3"/>
      <c r="I884" s="3"/>
    </row>
    <row r="885" ht="15.75" customHeight="1">
      <c r="C885" s="3"/>
      <c r="D885" s="3"/>
      <c r="E885" s="3"/>
      <c r="F885" s="3"/>
      <c r="G885" s="3"/>
      <c r="I885" s="3"/>
    </row>
    <row r="886" ht="15.75" customHeight="1">
      <c r="C886" s="3"/>
      <c r="D886" s="3"/>
      <c r="E886" s="3"/>
      <c r="F886" s="3"/>
      <c r="G886" s="3"/>
      <c r="I886" s="3"/>
    </row>
    <row r="887" ht="15.75" customHeight="1">
      <c r="C887" s="3"/>
      <c r="D887" s="3"/>
      <c r="E887" s="3"/>
      <c r="F887" s="3"/>
      <c r="G887" s="3"/>
      <c r="I887" s="3"/>
    </row>
    <row r="888" ht="15.75" customHeight="1">
      <c r="C888" s="3"/>
      <c r="D888" s="3"/>
      <c r="E888" s="3"/>
      <c r="F888" s="3"/>
      <c r="G888" s="3"/>
      <c r="I888" s="3"/>
    </row>
    <row r="889" ht="15.75" customHeight="1">
      <c r="C889" s="3"/>
      <c r="D889" s="3"/>
      <c r="E889" s="3"/>
      <c r="F889" s="3"/>
      <c r="G889" s="3"/>
      <c r="I889" s="3"/>
    </row>
    <row r="890" ht="15.75" customHeight="1">
      <c r="C890" s="3"/>
      <c r="D890" s="3"/>
      <c r="E890" s="3"/>
      <c r="F890" s="3"/>
      <c r="G890" s="3"/>
      <c r="I890" s="3"/>
    </row>
    <row r="891" ht="15.75" customHeight="1">
      <c r="C891" s="3"/>
      <c r="D891" s="3"/>
      <c r="E891" s="3"/>
      <c r="F891" s="3"/>
      <c r="G891" s="3"/>
      <c r="I891" s="3"/>
    </row>
    <row r="892" ht="15.75" customHeight="1">
      <c r="C892" s="3"/>
      <c r="D892" s="3"/>
      <c r="E892" s="3"/>
      <c r="F892" s="3"/>
      <c r="G892" s="3"/>
      <c r="I892" s="3"/>
    </row>
    <row r="893" ht="15.75" customHeight="1">
      <c r="C893" s="3"/>
      <c r="D893" s="3"/>
      <c r="E893" s="3"/>
      <c r="F893" s="3"/>
      <c r="G893" s="3"/>
      <c r="I893" s="3"/>
    </row>
    <row r="894" ht="15.75" customHeight="1">
      <c r="C894" s="3"/>
      <c r="D894" s="3"/>
      <c r="E894" s="3"/>
      <c r="F894" s="3"/>
      <c r="G894" s="3"/>
      <c r="I894" s="3"/>
    </row>
    <row r="895" ht="15.75" customHeight="1">
      <c r="C895" s="3"/>
      <c r="D895" s="3"/>
      <c r="E895" s="3"/>
      <c r="F895" s="3"/>
      <c r="G895" s="3"/>
      <c r="I895" s="3"/>
    </row>
    <row r="896" ht="15.75" customHeight="1">
      <c r="C896" s="3"/>
      <c r="D896" s="3"/>
      <c r="E896" s="3"/>
      <c r="F896" s="3"/>
      <c r="G896" s="3"/>
      <c r="I896" s="3"/>
    </row>
    <row r="897" ht="15.75" customHeight="1">
      <c r="C897" s="3"/>
      <c r="D897" s="3"/>
      <c r="E897" s="3"/>
      <c r="F897" s="3"/>
      <c r="G897" s="3"/>
      <c r="I897" s="3"/>
    </row>
    <row r="898" ht="15.75" customHeight="1">
      <c r="C898" s="3"/>
      <c r="D898" s="3"/>
      <c r="E898" s="3"/>
      <c r="F898" s="3"/>
      <c r="G898" s="3"/>
      <c r="I898" s="3"/>
    </row>
    <row r="899" ht="15.75" customHeight="1">
      <c r="C899" s="3"/>
      <c r="D899" s="3"/>
      <c r="E899" s="3"/>
      <c r="F899" s="3"/>
      <c r="G899" s="3"/>
      <c r="I899" s="3"/>
    </row>
    <row r="900" ht="15.75" customHeight="1">
      <c r="C900" s="3"/>
      <c r="D900" s="3"/>
      <c r="E900" s="3"/>
      <c r="F900" s="3"/>
      <c r="G900" s="3"/>
      <c r="I900" s="3"/>
    </row>
    <row r="901" ht="15.75" customHeight="1">
      <c r="C901" s="3"/>
      <c r="D901" s="3"/>
      <c r="E901" s="3"/>
      <c r="F901" s="3"/>
      <c r="G901" s="3"/>
      <c r="I901" s="3"/>
    </row>
    <row r="902" ht="15.75" customHeight="1">
      <c r="C902" s="3"/>
      <c r="D902" s="3"/>
      <c r="E902" s="3"/>
      <c r="F902" s="3"/>
      <c r="G902" s="3"/>
      <c r="I902" s="3"/>
    </row>
    <row r="903" ht="15.75" customHeight="1">
      <c r="C903" s="3"/>
      <c r="D903" s="3"/>
      <c r="E903" s="3"/>
      <c r="F903" s="3"/>
      <c r="G903" s="3"/>
      <c r="I903" s="3"/>
    </row>
    <row r="904" ht="15.75" customHeight="1">
      <c r="C904" s="3"/>
      <c r="D904" s="3"/>
      <c r="E904" s="3"/>
      <c r="F904" s="3"/>
      <c r="G904" s="3"/>
      <c r="I904" s="3"/>
    </row>
    <row r="905" ht="15.75" customHeight="1">
      <c r="C905" s="3"/>
      <c r="D905" s="3"/>
      <c r="E905" s="3"/>
      <c r="F905" s="3"/>
      <c r="G905" s="3"/>
      <c r="I905" s="3"/>
    </row>
    <row r="906" ht="15.75" customHeight="1">
      <c r="C906" s="3"/>
      <c r="D906" s="3"/>
      <c r="E906" s="3"/>
      <c r="F906" s="3"/>
      <c r="G906" s="3"/>
      <c r="I906" s="3"/>
    </row>
    <row r="907" ht="15.75" customHeight="1">
      <c r="C907" s="3"/>
      <c r="D907" s="3"/>
      <c r="E907" s="3"/>
      <c r="F907" s="3"/>
      <c r="G907" s="3"/>
      <c r="I907" s="3"/>
    </row>
    <row r="908" ht="15.75" customHeight="1">
      <c r="C908" s="3"/>
      <c r="D908" s="3"/>
      <c r="E908" s="3"/>
      <c r="F908" s="3"/>
      <c r="G908" s="3"/>
      <c r="I908" s="3"/>
    </row>
    <row r="909" ht="15.75" customHeight="1">
      <c r="C909" s="3"/>
      <c r="D909" s="3"/>
      <c r="E909" s="3"/>
      <c r="F909" s="3"/>
      <c r="G909" s="3"/>
      <c r="I909" s="3"/>
    </row>
    <row r="910" ht="15.75" customHeight="1">
      <c r="C910" s="3"/>
      <c r="D910" s="3"/>
      <c r="E910" s="3"/>
      <c r="F910" s="3"/>
      <c r="G910" s="3"/>
      <c r="I910" s="3"/>
    </row>
    <row r="911" ht="15.75" customHeight="1">
      <c r="C911" s="3"/>
      <c r="D911" s="3"/>
      <c r="E911" s="3"/>
      <c r="F911" s="3"/>
      <c r="G911" s="3"/>
      <c r="I911" s="3"/>
    </row>
    <row r="912" ht="15.75" customHeight="1">
      <c r="C912" s="3"/>
      <c r="D912" s="3"/>
      <c r="E912" s="3"/>
      <c r="F912" s="3"/>
      <c r="G912" s="3"/>
      <c r="I912" s="3"/>
    </row>
    <row r="913" ht="15.75" customHeight="1">
      <c r="C913" s="3"/>
      <c r="D913" s="3"/>
      <c r="E913" s="3"/>
      <c r="F913" s="3"/>
      <c r="G913" s="3"/>
      <c r="I913" s="3"/>
    </row>
    <row r="914" ht="15.75" customHeight="1">
      <c r="C914" s="3"/>
      <c r="D914" s="3"/>
      <c r="E914" s="3"/>
      <c r="F914" s="3"/>
      <c r="G914" s="3"/>
      <c r="I914" s="3"/>
    </row>
    <row r="915" ht="15.75" customHeight="1">
      <c r="C915" s="3"/>
      <c r="D915" s="3"/>
      <c r="E915" s="3"/>
      <c r="F915" s="3"/>
      <c r="G915" s="3"/>
      <c r="I915" s="3"/>
    </row>
    <row r="916" ht="15.75" customHeight="1">
      <c r="C916" s="3"/>
      <c r="D916" s="3"/>
      <c r="E916" s="3"/>
      <c r="F916" s="3"/>
      <c r="G916" s="3"/>
      <c r="I916" s="3"/>
    </row>
    <row r="917" ht="15.75" customHeight="1">
      <c r="C917" s="3"/>
      <c r="D917" s="3"/>
      <c r="E917" s="3"/>
      <c r="F917" s="3"/>
      <c r="G917" s="3"/>
      <c r="I917" s="3"/>
    </row>
    <row r="918" ht="15.75" customHeight="1">
      <c r="C918" s="3"/>
      <c r="D918" s="3"/>
      <c r="E918" s="3"/>
      <c r="F918" s="3"/>
      <c r="G918" s="3"/>
      <c r="I918" s="3"/>
    </row>
    <row r="919" ht="15.75" customHeight="1">
      <c r="C919" s="3"/>
      <c r="D919" s="3"/>
      <c r="E919" s="3"/>
      <c r="F919" s="3"/>
      <c r="G919" s="3"/>
      <c r="I919" s="3"/>
    </row>
    <row r="920" ht="15.75" customHeight="1">
      <c r="C920" s="3"/>
      <c r="D920" s="3"/>
      <c r="E920" s="3"/>
      <c r="F920" s="3"/>
      <c r="G920" s="3"/>
      <c r="I920" s="3"/>
    </row>
    <row r="921" ht="15.75" customHeight="1">
      <c r="C921" s="3"/>
      <c r="D921" s="3"/>
      <c r="E921" s="3"/>
      <c r="F921" s="3"/>
      <c r="G921" s="3"/>
      <c r="I921" s="3"/>
    </row>
    <row r="922" ht="15.75" customHeight="1">
      <c r="C922" s="3"/>
      <c r="D922" s="3"/>
      <c r="E922" s="3"/>
      <c r="F922" s="3"/>
      <c r="G922" s="3"/>
      <c r="I922" s="3"/>
    </row>
    <row r="923" ht="15.75" customHeight="1">
      <c r="C923" s="3"/>
      <c r="D923" s="3"/>
      <c r="E923" s="3"/>
      <c r="F923" s="3"/>
      <c r="G923" s="3"/>
      <c r="I923" s="3"/>
    </row>
    <row r="924" ht="15.75" customHeight="1">
      <c r="C924" s="3"/>
      <c r="D924" s="3"/>
      <c r="E924" s="3"/>
      <c r="F924" s="3"/>
      <c r="G924" s="3"/>
      <c r="I924" s="3"/>
    </row>
    <row r="925" ht="15.75" customHeight="1">
      <c r="C925" s="3"/>
      <c r="D925" s="3"/>
      <c r="E925" s="3"/>
      <c r="F925" s="3"/>
      <c r="G925" s="3"/>
      <c r="I925" s="3"/>
    </row>
    <row r="926" ht="15.75" customHeight="1">
      <c r="C926" s="3"/>
      <c r="D926" s="3"/>
      <c r="E926" s="3"/>
      <c r="F926" s="3"/>
      <c r="G926" s="3"/>
      <c r="I926" s="3"/>
    </row>
    <row r="927" ht="15.75" customHeight="1">
      <c r="C927" s="3"/>
      <c r="D927" s="3"/>
      <c r="E927" s="3"/>
      <c r="F927" s="3"/>
      <c r="G927" s="3"/>
      <c r="I927" s="3"/>
    </row>
    <row r="928" ht="15.75" customHeight="1">
      <c r="C928" s="3"/>
      <c r="D928" s="3"/>
      <c r="E928" s="3"/>
      <c r="F928" s="3"/>
      <c r="G928" s="3"/>
      <c r="I928" s="3"/>
    </row>
    <row r="929" ht="15.75" customHeight="1">
      <c r="C929" s="3"/>
      <c r="D929" s="3"/>
      <c r="E929" s="3"/>
      <c r="F929" s="3"/>
      <c r="G929" s="3"/>
      <c r="I929" s="3"/>
    </row>
    <row r="930" ht="15.75" customHeight="1">
      <c r="C930" s="3"/>
      <c r="D930" s="3"/>
      <c r="E930" s="3"/>
      <c r="F930" s="3"/>
      <c r="G930" s="3"/>
      <c r="I930" s="3"/>
    </row>
    <row r="931" ht="15.75" customHeight="1">
      <c r="C931" s="3"/>
      <c r="D931" s="3"/>
      <c r="E931" s="3"/>
      <c r="F931" s="3"/>
      <c r="G931" s="3"/>
      <c r="I931" s="3"/>
    </row>
    <row r="932" ht="15.75" customHeight="1">
      <c r="C932" s="3"/>
      <c r="D932" s="3"/>
      <c r="E932" s="3"/>
      <c r="F932" s="3"/>
      <c r="G932" s="3"/>
      <c r="I932" s="3"/>
    </row>
    <row r="933" ht="15.75" customHeight="1">
      <c r="C933" s="3"/>
      <c r="D933" s="3"/>
      <c r="E933" s="3"/>
      <c r="F933" s="3"/>
      <c r="G933" s="3"/>
      <c r="I933" s="3"/>
    </row>
  </sheetData>
  <mergeCells count="4">
    <mergeCell ref="A2:A8"/>
    <mergeCell ref="A9:A15"/>
    <mergeCell ref="A16:A22"/>
    <mergeCell ref="A23:A29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2026-03-30T18:35:49Z</dcterms:created>
  <dc:creator>Jennifer Laber</dc:creator>
</cp:coreProperties>
</file>