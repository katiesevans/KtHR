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PY" sheetId="1" r:id="rId4"/>
    <sheet state="visible" name="TRAINERS" sheetId="2" r:id="rId5"/>
    <sheet state="visible" name="Storm Steppers🌀" sheetId="3" r:id="rId6"/>
    <sheet state="visible" name="Burnin Soles" sheetId="4" r:id="rId7"/>
    <sheet state="visible" name="STRUT SQUAD⚡️🤍" sheetId="5" r:id="rId8"/>
    <sheet state="visible" name="Resting Step Face" sheetId="6" r:id="rId9"/>
    <sheet state="visible" name="Walk Around and Find Out" sheetId="7" r:id="rId10"/>
    <sheet state="visible" name="Burning up the Miles" sheetId="8" r:id="rId11"/>
    <sheet state="visible" name="Sole Sisters + 1 Mister 💅⚡️" sheetId="9" r:id="rId12"/>
    <sheet state="visible" name="Blister Sisters" sheetId="10" r:id="rId13"/>
    <sheet state="visible" name="Hot Chili Steppers🌶️" sheetId="11" r:id="rId14"/>
    <sheet state="visible" name="Lemon Peppa Steppas" sheetId="12" r:id="rId15"/>
    <sheet state="visible" name="Too Legit to Sit 🔥🔥" sheetId="13" r:id="rId16"/>
    <sheet state="visible" name="Sole Train" sheetId="14" r:id="rId17"/>
    <sheet state="visible" name="Running Late Counts" sheetId="15" r:id="rId18"/>
    <sheet state="visible" name="Sole Mates" sheetId="16" r:id="rId19"/>
    <sheet state="visible" name="Stride or Die" sheetId="17" r:id="rId20"/>
    <sheet state="visible" name="Victory Lap 🏅" sheetId="18" r:id="rId21"/>
    <sheet state="visible" name="Holy Walkamolies" sheetId="19" r:id="rId22"/>
    <sheet state="visible" name="Goal Diggers " sheetId="20" r:id="rId23"/>
    <sheet state="visible" name="ABCD Step Sisters" sheetId="21" r:id="rId24"/>
    <sheet state="visible" name="Sole Sisters 🔥👟" sheetId="22" r:id="rId25"/>
    <sheet state="visible" name="Run like The Winded" sheetId="23" r:id="rId26"/>
    <sheet state="visible" name="Last but Fast" sheetId="24" r:id="rId27"/>
  </sheets>
  <definedNames/>
  <calcPr/>
  <extLst>
    <ext uri="GoogleSheetsCustomDataVersion2">
      <go:sheetsCustomData xmlns:go="http://customooxmlschemas.google.com/" r:id="rId28" roundtripDataChecksum="V8TNPqFlsXEFTn6C7GpJDM3+UIRgIvrU1FEaiy6pc2w="/>
    </ext>
  </extLst>
</workbook>
</file>

<file path=xl/sharedStrings.xml><?xml version="1.0" encoding="utf-8"?>
<sst xmlns="http://schemas.openxmlformats.org/spreadsheetml/2006/main" count="409" uniqueCount="116">
  <si>
    <t>Person A</t>
  </si>
  <si>
    <t>Person B</t>
  </si>
  <si>
    <t>Person C</t>
  </si>
  <si>
    <t>Person D</t>
  </si>
  <si>
    <t>Week 1</t>
  </si>
  <si>
    <t>Week Total</t>
  </si>
  <si>
    <t>Week 2</t>
  </si>
  <si>
    <t>Week 3</t>
  </si>
  <si>
    <t xml:space="preserve"> Week 4</t>
  </si>
  <si>
    <t>Person A Total</t>
  </si>
  <si>
    <t>Person B Total</t>
  </si>
  <si>
    <t xml:space="preserve">Person C Total </t>
  </si>
  <si>
    <t>Person D Total</t>
  </si>
  <si>
    <t>Team Total</t>
  </si>
  <si>
    <t>Jenna</t>
  </si>
  <si>
    <t>Maggie</t>
  </si>
  <si>
    <t>Natalie</t>
  </si>
  <si>
    <t>AJ</t>
  </si>
  <si>
    <t>Week 4</t>
  </si>
  <si>
    <t>Jenna Total</t>
  </si>
  <si>
    <t>Maggie Total</t>
  </si>
  <si>
    <t xml:space="preserve">Natalie Total </t>
  </si>
  <si>
    <t>AJ Total</t>
  </si>
  <si>
    <t>Kaylah C</t>
  </si>
  <si>
    <t>Jamillah S</t>
  </si>
  <si>
    <t>Kayla P</t>
  </si>
  <si>
    <t>Sarah C.</t>
  </si>
  <si>
    <t>Erica B</t>
  </si>
  <si>
    <t>Emily F</t>
  </si>
  <si>
    <t>Ana R</t>
  </si>
  <si>
    <t xml:space="preserve">Jasmin H </t>
  </si>
  <si>
    <t>Bre C</t>
  </si>
  <si>
    <t>Jen Harpe</t>
  </si>
  <si>
    <t>Marie C</t>
  </si>
  <si>
    <t>Annie L</t>
  </si>
  <si>
    <t>Bre C Total</t>
  </si>
  <si>
    <t>Jen H Total</t>
  </si>
  <si>
    <t xml:space="preserve">Marie C Total </t>
  </si>
  <si>
    <t>Annie L Total</t>
  </si>
  <si>
    <t>Rachel T</t>
  </si>
  <si>
    <t>Jatun B</t>
  </si>
  <si>
    <t>Regan B</t>
  </si>
  <si>
    <t>Zawadi W</t>
  </si>
  <si>
    <t>Emily N</t>
  </si>
  <si>
    <t>Leslie Y</t>
  </si>
  <si>
    <t>Kaylee H</t>
  </si>
  <si>
    <t>Olivia V</t>
  </si>
  <si>
    <t>Theresa I</t>
  </si>
  <si>
    <t>Kelsey R</t>
  </si>
  <si>
    <t>Robin R</t>
  </si>
  <si>
    <t>Steph G</t>
  </si>
  <si>
    <t>Court J./Terra H.</t>
  </si>
  <si>
    <t>Avery W</t>
  </si>
  <si>
    <t>Stephanie A.R</t>
  </si>
  <si>
    <t>Monishia E</t>
  </si>
  <si>
    <t>Katherine S</t>
  </si>
  <si>
    <t>Asia C</t>
  </si>
  <si>
    <t>Sam M.</t>
  </si>
  <si>
    <t>Rachel G</t>
  </si>
  <si>
    <t>Emily S</t>
  </si>
  <si>
    <t>Jess R</t>
  </si>
  <si>
    <t>Rachael B</t>
  </si>
  <si>
    <t xml:space="preserve">Amelia G. </t>
  </si>
  <si>
    <t>Sydnee W</t>
  </si>
  <si>
    <t>Amber C.</t>
  </si>
  <si>
    <t>Jessica F.</t>
  </si>
  <si>
    <t>Danielle O</t>
  </si>
  <si>
    <t>,</t>
  </si>
  <si>
    <t>Katie E.</t>
  </si>
  <si>
    <t>Lauren H.</t>
  </si>
  <si>
    <t>Haejin</t>
  </si>
  <si>
    <t xml:space="preserve">Kathy P. </t>
  </si>
  <si>
    <t>Taylor G</t>
  </si>
  <si>
    <t>Margaret S.</t>
  </si>
  <si>
    <t>Jessica P.</t>
  </si>
  <si>
    <t>Nikki K</t>
  </si>
  <si>
    <t>Amber A</t>
  </si>
  <si>
    <t>Sarah S</t>
  </si>
  <si>
    <t>Stephanie L.</t>
  </si>
  <si>
    <t>Candace R</t>
  </si>
  <si>
    <t>Aundrea E.</t>
  </si>
  <si>
    <t>Brandee M.</t>
  </si>
  <si>
    <t>Mary Beth G.</t>
  </si>
  <si>
    <t>Sarat D</t>
  </si>
  <si>
    <t xml:space="preserve">Tayler W. </t>
  </si>
  <si>
    <t xml:space="preserve">Cindy A. </t>
  </si>
  <si>
    <t>Susan O.</t>
  </si>
  <si>
    <t>Steven C.</t>
  </si>
  <si>
    <t>Brandi M.E.</t>
  </si>
  <si>
    <t>Jaye C.</t>
  </si>
  <si>
    <t xml:space="preserve">Sarah Anne C. </t>
  </si>
  <si>
    <t>Nicole J</t>
  </si>
  <si>
    <t>Lindsay M</t>
  </si>
  <si>
    <t>Tosha F.</t>
  </si>
  <si>
    <t>Eboni F.</t>
  </si>
  <si>
    <t xml:space="preserve">Val D. </t>
  </si>
  <si>
    <t>Mitzi P.</t>
  </si>
  <si>
    <t xml:space="preserve">QuiAnne' H. </t>
  </si>
  <si>
    <t>Kelly P.</t>
  </si>
  <si>
    <t>Karen R.</t>
  </si>
  <si>
    <t>Candice H.</t>
  </si>
  <si>
    <t>Dormekya B.</t>
  </si>
  <si>
    <t>Alison S.</t>
  </si>
  <si>
    <t>Barb K.</t>
  </si>
  <si>
    <t>Jess H.</t>
  </si>
  <si>
    <t>Tiera S.</t>
  </si>
  <si>
    <t>Barb R.</t>
  </si>
  <si>
    <t xml:space="preserve">Justine W. </t>
  </si>
  <si>
    <t>Alli B.</t>
  </si>
  <si>
    <t>Prema N.</t>
  </si>
  <si>
    <t>Dwayne B.</t>
  </si>
  <si>
    <t>Kortney H.</t>
  </si>
  <si>
    <t>Rachel M</t>
  </si>
  <si>
    <t>Ashley B</t>
  </si>
  <si>
    <t>Whitney M</t>
  </si>
  <si>
    <t>Donna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</si>
</sst>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ptos Narrow"/>
      <scheme val="minor"/>
    </font>
    <font>
      <b/>
      <sz val="11.0"/>
      <color theme="1"/>
      <name val="Aptos Narrow"/>
    </font>
    <font>
      <color theme="1"/>
      <name val="Aptos Narrow"/>
      <scheme val="minor"/>
    </font>
    <font>
      <b/>
      <i/>
      <sz val="11.0"/>
      <color theme="1"/>
      <name val="Arial"/>
    </font>
    <font>
      <sz val="11.0"/>
      <color theme="1"/>
      <name val="Arial"/>
    </font>
    <font>
      <sz val="11.0"/>
      <color theme="1"/>
      <name val="Aptos Narrow"/>
    </font>
    <font/>
    <font>
      <b/>
      <sz val="11.0"/>
      <color theme="1"/>
      <name val="Arial"/>
    </font>
    <font>
      <b/>
      <i/>
      <sz val="11.0"/>
      <color theme="1"/>
      <name val="Aptos Narrow"/>
    </font>
    <font>
      <color theme="1"/>
      <name val="Arial"/>
    </font>
    <font>
      <b/>
      <color theme="1"/>
      <name val="Aptos Narrow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3" xfId="0" applyAlignment="1" applyFill="1" applyFont="1" applyNumberFormat="1">
      <alignment horizontal="center"/>
    </xf>
    <xf borderId="0" fillId="0" fontId="1" numFmtId="3" xfId="0" applyAlignment="1" applyFont="1" applyNumberFormat="1">
      <alignment horizontal="center"/>
    </xf>
    <xf borderId="0" fillId="0" fontId="2" numFmtId="3" xfId="0" applyFont="1" applyNumberFormat="1"/>
    <xf borderId="1" fillId="3" fontId="3" numFmtId="0" xfId="0" applyAlignment="1" applyBorder="1" applyFill="1" applyFont="1">
      <alignment horizontal="center" readingOrder="0" textRotation="90" vertical="center"/>
    </xf>
    <xf borderId="2" fillId="3" fontId="4" numFmtId="14" xfId="0" applyAlignment="1" applyBorder="1" applyFont="1" applyNumberFormat="1">
      <alignment horizontal="center" readingOrder="0"/>
    </xf>
    <xf borderId="2" fillId="3" fontId="4" numFmtId="3" xfId="0" applyAlignment="1" applyBorder="1" applyFont="1" applyNumberFormat="1">
      <alignment readingOrder="0"/>
    </xf>
    <xf borderId="2" fillId="3" fontId="1" numFmtId="3" xfId="0" applyBorder="1" applyFont="1" applyNumberFormat="1"/>
    <xf borderId="2" fillId="3" fontId="5" numFmtId="0" xfId="0" applyBorder="1" applyFont="1"/>
    <xf borderId="2" fillId="3" fontId="5" numFmtId="3" xfId="0" applyBorder="1" applyFont="1" applyNumberFormat="1"/>
    <xf borderId="3" fillId="0" fontId="6" numFmtId="0" xfId="0" applyBorder="1" applyFont="1"/>
    <xf borderId="2" fillId="3" fontId="4" numFmtId="0" xfId="0" applyAlignment="1" applyBorder="1" applyFont="1">
      <alignment readingOrder="0"/>
    </xf>
    <xf borderId="2" fillId="3" fontId="7" numFmtId="3" xfId="0" applyAlignment="1" applyBorder="1" applyFont="1" applyNumberFormat="1">
      <alignment readingOrder="0"/>
    </xf>
    <xf borderId="1" fillId="4" fontId="8" numFmtId="0" xfId="0" applyAlignment="1" applyBorder="1" applyFill="1" applyFont="1">
      <alignment horizontal="center" textRotation="90" vertical="center"/>
    </xf>
    <xf borderId="2" fillId="4" fontId="4" numFmtId="14" xfId="0" applyAlignment="1" applyBorder="1" applyFont="1" applyNumberFormat="1">
      <alignment horizontal="center" readingOrder="0"/>
    </xf>
    <xf borderId="2" fillId="4" fontId="5" numFmtId="3" xfId="0" applyBorder="1" applyFont="1" applyNumberFormat="1"/>
    <xf borderId="2" fillId="4" fontId="4" numFmtId="3" xfId="0" applyAlignment="1" applyBorder="1" applyFont="1" applyNumberFormat="1">
      <alignment readingOrder="0"/>
    </xf>
    <xf borderId="2" fillId="4" fontId="1" numFmtId="3" xfId="0" applyBorder="1" applyFont="1" applyNumberFormat="1"/>
    <xf borderId="2" fillId="4" fontId="5" numFmtId="0" xfId="0" applyBorder="1" applyFont="1"/>
    <xf borderId="2" fillId="4" fontId="9" numFmtId="3" xfId="0" applyAlignment="1" applyBorder="1" applyFont="1" applyNumberFormat="1">
      <alignment readingOrder="0"/>
    </xf>
    <xf borderId="2" fillId="4" fontId="2" numFmtId="3" xfId="0" applyBorder="1" applyFont="1" applyNumberFormat="1"/>
    <xf borderId="2" fillId="4" fontId="2" numFmtId="0" xfId="0" applyBorder="1" applyFont="1"/>
    <xf borderId="2" fillId="4" fontId="9" numFmtId="0" xfId="0" applyAlignment="1" applyBorder="1" applyFont="1">
      <alignment readingOrder="0"/>
    </xf>
    <xf borderId="2" fillId="4" fontId="10" numFmtId="3" xfId="0" applyBorder="1" applyFont="1" applyNumberFormat="1"/>
    <xf borderId="1" fillId="5" fontId="8" numFmtId="0" xfId="0" applyAlignment="1" applyBorder="1" applyFill="1" applyFont="1">
      <alignment horizontal="center" textRotation="90" vertical="center"/>
    </xf>
    <xf borderId="2" fillId="5" fontId="4" numFmtId="14" xfId="0" applyAlignment="1" applyBorder="1" applyFont="1" applyNumberFormat="1">
      <alignment horizontal="center" readingOrder="0"/>
    </xf>
    <xf borderId="2" fillId="5" fontId="2" numFmtId="3" xfId="0" applyBorder="1" applyFont="1" applyNumberFormat="1"/>
    <xf borderId="2" fillId="5" fontId="1" numFmtId="3" xfId="0" applyBorder="1" applyFont="1" applyNumberFormat="1"/>
    <xf borderId="2" fillId="5" fontId="5" numFmtId="0" xfId="0" applyBorder="1" applyFont="1"/>
    <xf borderId="2" fillId="5" fontId="2" numFmtId="0" xfId="0" applyBorder="1" applyFont="1"/>
    <xf borderId="2" fillId="5" fontId="5" numFmtId="3" xfId="0" applyBorder="1" applyFont="1" applyNumberFormat="1"/>
    <xf borderId="2" fillId="5" fontId="4" numFmtId="3" xfId="0" applyAlignment="1" applyBorder="1" applyFont="1" applyNumberFormat="1">
      <alignment readingOrder="0"/>
    </xf>
    <xf borderId="2" fillId="5" fontId="4" numFmtId="0" xfId="0" applyAlignment="1" applyBorder="1" applyFont="1">
      <alignment readingOrder="0"/>
    </xf>
    <xf borderId="1" fillId="6" fontId="3" numFmtId="0" xfId="0" applyAlignment="1" applyBorder="1" applyFill="1" applyFont="1">
      <alignment horizontal="center" readingOrder="0" textRotation="90" vertical="center"/>
    </xf>
    <xf borderId="2" fillId="6" fontId="4" numFmtId="14" xfId="0" applyAlignment="1" applyBorder="1" applyFont="1" applyNumberFormat="1">
      <alignment horizontal="center" readingOrder="0"/>
    </xf>
    <xf borderId="2" fillId="6" fontId="5" numFmtId="3" xfId="0" applyBorder="1" applyFont="1" applyNumberFormat="1"/>
    <xf borderId="2" fillId="6" fontId="4" numFmtId="3" xfId="0" applyAlignment="1" applyBorder="1" applyFont="1" applyNumberFormat="1">
      <alignment readingOrder="0"/>
    </xf>
    <xf borderId="2" fillId="6" fontId="7" numFmtId="3" xfId="0" applyAlignment="1" applyBorder="1" applyFont="1" applyNumberFormat="1">
      <alignment readingOrder="0"/>
    </xf>
    <xf borderId="2" fillId="6" fontId="5" numFmtId="0" xfId="0" applyBorder="1" applyFont="1"/>
    <xf borderId="2" fillId="6" fontId="1" numFmtId="3" xfId="0" applyBorder="1" applyFont="1" applyNumberFormat="1"/>
    <xf borderId="2" fillId="6" fontId="2" numFmtId="3" xfId="0" applyBorder="1" applyFont="1" applyNumberFormat="1"/>
    <xf borderId="2" fillId="6" fontId="2" numFmtId="0" xfId="0" applyBorder="1" applyFont="1"/>
    <xf borderId="2" fillId="6" fontId="9" numFmtId="3" xfId="0" applyAlignment="1" applyBorder="1" applyFont="1" applyNumberFormat="1">
      <alignment readingOrder="0"/>
    </xf>
    <xf borderId="2" fillId="6" fontId="9" numFmtId="0" xfId="0" applyAlignment="1" applyBorder="1" applyFont="1">
      <alignment readingOrder="0"/>
    </xf>
    <xf borderId="2" fillId="6" fontId="10" numFmtId="3" xfId="0" applyBorder="1" applyFont="1" applyNumberFormat="1"/>
    <xf borderId="0" fillId="0" fontId="10" numFmtId="3" xfId="0" applyFont="1" applyNumberFormat="1"/>
    <xf borderId="0" fillId="0" fontId="9" numFmtId="3" xfId="0" applyAlignment="1" applyFont="1" applyNumberFormat="1">
      <alignment horizontal="center" readingOrder="0"/>
    </xf>
    <xf borderId="0" fillId="2" fontId="7" numFmtId="3" xfId="0" applyAlignment="1" applyFont="1" applyNumberFormat="1">
      <alignment horizontal="center" readingOrder="0"/>
    </xf>
    <xf borderId="0" fillId="0" fontId="7" numFmtId="3" xfId="0" applyAlignment="1" applyFont="1" applyNumberFormat="1">
      <alignment horizontal="center" readingOrder="0"/>
    </xf>
    <xf borderId="2" fillId="3" fontId="5" numFmtId="3" xfId="0" applyAlignment="1" applyBorder="1" applyFont="1" applyNumberFormat="1">
      <alignment readingOrder="0"/>
    </xf>
    <xf borderId="2" fillId="5" fontId="9" numFmtId="3" xfId="0" applyAlignment="1" applyBorder="1" applyFont="1" applyNumberFormat="1">
      <alignment readingOrder="0"/>
    </xf>
    <xf borderId="4" fillId="0" fontId="11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0" fillId="0" fontId="9" numFmtId="0" xfId="0" applyAlignment="1" applyFont="1">
      <alignment readingOrder="0"/>
    </xf>
    <xf borderId="2" fillId="3" fontId="4" numFmtId="3" xfId="0" applyAlignment="1" applyBorder="1" applyFont="1" applyNumberFormat="1">
      <alignment horizontal="right" vertical="bottom"/>
    </xf>
    <xf borderId="3" fillId="0" fontId="11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1" t="s">
        <v>0</v>
      </c>
      <c r="D1" s="2" t="s">
        <v>1</v>
      </c>
      <c r="E1" s="2" t="s">
        <v>2</v>
      </c>
      <c r="F1" s="2" t="s">
        <v>3</v>
      </c>
      <c r="G1" s="3"/>
      <c r="I1" s="3"/>
    </row>
    <row r="2">
      <c r="A2" s="4" t="s">
        <v>4</v>
      </c>
      <c r="B2" s="5">
        <v>46174.0</v>
      </c>
      <c r="C2" s="6"/>
      <c r="D2" s="6"/>
      <c r="E2" s="6"/>
      <c r="F2" s="6"/>
      <c r="G2" s="7">
        <f t="shared" ref="G2:G29" si="1">SUM(C2+D2+E2+F2)</f>
        <v>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/>
      <c r="D3" s="6"/>
      <c r="E3" s="6"/>
      <c r="F3" s="6"/>
      <c r="G3" s="7">
        <f t="shared" si="1"/>
        <v>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/>
      <c r="D4" s="6"/>
      <c r="E4" s="6"/>
      <c r="F4" s="9"/>
      <c r="G4" s="7">
        <f t="shared" si="1"/>
        <v>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/>
      <c r="D5" s="6"/>
      <c r="E5" s="6"/>
      <c r="F5" s="9"/>
      <c r="G5" s="7">
        <f t="shared" si="1"/>
        <v>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0</v>
      </c>
      <c r="D30" s="45">
        <f t="shared" si="2"/>
        <v>0</v>
      </c>
      <c r="E30" s="45">
        <f t="shared" si="2"/>
        <v>0</v>
      </c>
      <c r="F30" s="45">
        <f t="shared" si="2"/>
        <v>0</v>
      </c>
      <c r="G30" s="45">
        <f t="shared" si="2"/>
        <v>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14</v>
      </c>
      <c r="D1" s="48" t="s">
        <v>15</v>
      </c>
      <c r="E1" s="48" t="s">
        <v>16</v>
      </c>
      <c r="F1" s="48" t="s">
        <v>17</v>
      </c>
      <c r="G1" s="3"/>
      <c r="I1" s="3"/>
    </row>
    <row r="2">
      <c r="A2" s="4" t="s">
        <v>4</v>
      </c>
      <c r="B2" s="5">
        <v>46174.0</v>
      </c>
      <c r="C2" s="6">
        <v>18455.0</v>
      </c>
      <c r="D2" s="6">
        <v>11745.0</v>
      </c>
      <c r="E2" s="6">
        <v>9213.0</v>
      </c>
      <c r="F2" s="6">
        <v>6908.0</v>
      </c>
      <c r="G2" s="7">
        <f t="shared" ref="G2:G29" si="1">SUM(C2+D2+E2+F2)</f>
        <v>46321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20222.0</v>
      </c>
      <c r="D3" s="6">
        <v>15925.0</v>
      </c>
      <c r="E3" s="6">
        <v>8237.0</v>
      </c>
      <c r="F3" s="6">
        <v>7653.0</v>
      </c>
      <c r="G3" s="7">
        <f t="shared" si="1"/>
        <v>52037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16000.0</v>
      </c>
      <c r="D4" s="6">
        <v>15458.0</v>
      </c>
      <c r="E4" s="6">
        <v>5940.0</v>
      </c>
      <c r="F4" s="49">
        <v>6789.0</v>
      </c>
      <c r="G4" s="7">
        <f t="shared" si="1"/>
        <v>44187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6967.0</v>
      </c>
      <c r="D5" s="6">
        <v>15955.0</v>
      </c>
      <c r="E5" s="49">
        <v>10138.0</v>
      </c>
      <c r="F5" s="49">
        <v>8735.0</v>
      </c>
      <c r="G5" s="7">
        <f t="shared" si="1"/>
        <v>41795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18354.0</v>
      </c>
      <c r="D6" s="6">
        <v>11366.0</v>
      </c>
      <c r="E6" s="6"/>
      <c r="F6" s="9"/>
      <c r="G6" s="7">
        <f t="shared" si="1"/>
        <v>29720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6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214060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0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5"/>
      <c r="F23" s="35"/>
      <c r="G23" s="39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79998</v>
      </c>
      <c r="D30" s="45">
        <f t="shared" si="2"/>
        <v>70449</v>
      </c>
      <c r="E30" s="45">
        <f t="shared" si="2"/>
        <v>33528</v>
      </c>
      <c r="F30" s="45">
        <f t="shared" si="2"/>
        <v>30085</v>
      </c>
      <c r="G30" s="45">
        <f t="shared" si="2"/>
        <v>214060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19</v>
      </c>
      <c r="D31" s="46" t="s">
        <v>20</v>
      </c>
      <c r="E31" s="46" t="s">
        <v>21</v>
      </c>
      <c r="F31" s="46" t="s">
        <v>22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  <row r="934">
      <c r="C934" s="3"/>
      <c r="D934" s="3"/>
      <c r="E934" s="3"/>
      <c r="F934" s="3"/>
      <c r="G934" s="3"/>
      <c r="I934" s="3"/>
    </row>
    <row r="935">
      <c r="C935" s="3"/>
      <c r="D935" s="3"/>
      <c r="E935" s="3"/>
      <c r="F935" s="3"/>
      <c r="G935" s="3"/>
      <c r="I935" s="3"/>
    </row>
    <row r="936">
      <c r="C936" s="3"/>
      <c r="D936" s="3"/>
      <c r="E936" s="3"/>
      <c r="F936" s="3"/>
      <c r="G936" s="3"/>
      <c r="I936" s="3"/>
    </row>
    <row r="937">
      <c r="C937" s="3"/>
      <c r="D937" s="3"/>
      <c r="E937" s="3"/>
      <c r="F937" s="3"/>
      <c r="G937" s="3"/>
      <c r="I937" s="3"/>
    </row>
    <row r="938">
      <c r="C938" s="3"/>
      <c r="D938" s="3"/>
      <c r="E938" s="3"/>
      <c r="F938" s="3"/>
      <c r="G938" s="3"/>
      <c r="I938" s="3"/>
    </row>
    <row r="939">
      <c r="C939" s="3"/>
      <c r="D939" s="3"/>
      <c r="E939" s="3"/>
      <c r="F939" s="3"/>
      <c r="G939" s="3"/>
      <c r="I939" s="3"/>
    </row>
    <row r="940">
      <c r="C940" s="3"/>
      <c r="D940" s="3"/>
      <c r="E940" s="3"/>
      <c r="F940" s="3"/>
      <c r="G940" s="3"/>
      <c r="I940" s="3"/>
    </row>
    <row r="941">
      <c r="C941" s="3"/>
      <c r="D941" s="3"/>
      <c r="E941" s="3"/>
      <c r="F941" s="3"/>
      <c r="G941" s="3"/>
      <c r="I941" s="3"/>
    </row>
    <row r="942">
      <c r="C942" s="3"/>
      <c r="D942" s="3"/>
      <c r="E942" s="3"/>
      <c r="F942" s="3"/>
      <c r="G942" s="3"/>
      <c r="I942" s="3"/>
    </row>
    <row r="943">
      <c r="C943" s="3"/>
      <c r="D943" s="3"/>
      <c r="E943" s="3"/>
      <c r="F943" s="3"/>
      <c r="G943" s="3"/>
      <c r="I943" s="3"/>
    </row>
    <row r="944">
      <c r="C944" s="3"/>
      <c r="D944" s="3"/>
      <c r="E944" s="3"/>
      <c r="F944" s="3"/>
      <c r="G944" s="3"/>
      <c r="I944" s="3"/>
    </row>
    <row r="945">
      <c r="C945" s="3"/>
      <c r="D945" s="3"/>
      <c r="E945" s="3"/>
      <c r="F945" s="3"/>
      <c r="G945" s="3"/>
      <c r="I945" s="3"/>
    </row>
    <row r="946">
      <c r="C946" s="3"/>
      <c r="D946" s="3"/>
      <c r="E946" s="3"/>
      <c r="F946" s="3"/>
      <c r="G946" s="3"/>
      <c r="I946" s="3"/>
    </row>
    <row r="947">
      <c r="C947" s="3"/>
      <c r="D947" s="3"/>
      <c r="E947" s="3"/>
      <c r="F947" s="3"/>
      <c r="G947" s="3"/>
      <c r="I947" s="3"/>
    </row>
    <row r="948">
      <c r="C948" s="3"/>
      <c r="D948" s="3"/>
      <c r="E948" s="3"/>
      <c r="F948" s="3"/>
      <c r="G948" s="3"/>
      <c r="I948" s="3"/>
    </row>
    <row r="949">
      <c r="C949" s="3"/>
      <c r="D949" s="3"/>
      <c r="E949" s="3"/>
      <c r="F949" s="3"/>
      <c r="G949" s="3"/>
      <c r="I949" s="3"/>
    </row>
    <row r="950">
      <c r="C950" s="3"/>
      <c r="D950" s="3"/>
      <c r="E950" s="3"/>
      <c r="F950" s="3"/>
      <c r="G950" s="3"/>
      <c r="I950" s="3"/>
    </row>
    <row r="951">
      <c r="C951" s="3"/>
      <c r="D951" s="3"/>
      <c r="E951" s="3"/>
      <c r="F951" s="3"/>
      <c r="G951" s="3"/>
      <c r="I951" s="3"/>
    </row>
    <row r="952">
      <c r="C952" s="3"/>
      <c r="D952" s="3"/>
      <c r="E952" s="3"/>
      <c r="F952" s="3"/>
      <c r="G952" s="3"/>
      <c r="I952" s="3"/>
    </row>
    <row r="953">
      <c r="C953" s="3"/>
      <c r="D953" s="3"/>
      <c r="E953" s="3"/>
      <c r="F953" s="3"/>
      <c r="G953" s="3"/>
      <c r="I953" s="3"/>
    </row>
    <row r="954">
      <c r="C954" s="3"/>
      <c r="D954" s="3"/>
      <c r="E954" s="3"/>
      <c r="F954" s="3"/>
      <c r="G954" s="3"/>
      <c r="I954" s="3"/>
    </row>
    <row r="955">
      <c r="C955" s="3"/>
      <c r="D955" s="3"/>
      <c r="E955" s="3"/>
      <c r="F955" s="3"/>
      <c r="G955" s="3"/>
      <c r="I955" s="3"/>
    </row>
    <row r="956">
      <c r="C956" s="3"/>
      <c r="D956" s="3"/>
      <c r="E956" s="3"/>
      <c r="F956" s="3"/>
      <c r="G956" s="3"/>
      <c r="I956" s="3"/>
    </row>
    <row r="957">
      <c r="C957" s="3"/>
      <c r="D957" s="3"/>
      <c r="E957" s="3"/>
      <c r="F957" s="3"/>
      <c r="G957" s="3"/>
      <c r="I957" s="3"/>
    </row>
    <row r="958">
      <c r="C958" s="3"/>
      <c r="D958" s="3"/>
      <c r="E958" s="3"/>
      <c r="F958" s="3"/>
      <c r="G958" s="3"/>
      <c r="I958" s="3"/>
    </row>
    <row r="959">
      <c r="C959" s="3"/>
      <c r="D959" s="3"/>
      <c r="E959" s="3"/>
      <c r="F959" s="3"/>
      <c r="G959" s="3"/>
      <c r="I959" s="3"/>
    </row>
    <row r="960">
      <c r="C960" s="3"/>
      <c r="D960" s="3"/>
      <c r="E960" s="3"/>
      <c r="F960" s="3"/>
      <c r="G960" s="3"/>
      <c r="I960" s="3"/>
    </row>
    <row r="961">
      <c r="C961" s="3"/>
      <c r="D961" s="3"/>
      <c r="E961" s="3"/>
      <c r="F961" s="3"/>
      <c r="G961" s="3"/>
      <c r="I961" s="3"/>
    </row>
    <row r="962">
      <c r="C962" s="3"/>
      <c r="D962" s="3"/>
      <c r="E962" s="3"/>
      <c r="F962" s="3"/>
      <c r="G962" s="3"/>
      <c r="I962" s="3"/>
    </row>
    <row r="963">
      <c r="C963" s="3"/>
      <c r="D963" s="3"/>
      <c r="E963" s="3"/>
      <c r="F963" s="3"/>
      <c r="G963" s="3"/>
      <c r="I963" s="3"/>
    </row>
    <row r="964">
      <c r="C964" s="3"/>
      <c r="D964" s="3"/>
      <c r="E964" s="3"/>
      <c r="F964" s="3"/>
      <c r="G964" s="3"/>
      <c r="I964" s="3"/>
    </row>
    <row r="965">
      <c r="C965" s="3"/>
      <c r="D965" s="3"/>
      <c r="E965" s="3"/>
      <c r="F965" s="3"/>
      <c r="G965" s="3"/>
      <c r="I965" s="3"/>
    </row>
    <row r="966">
      <c r="C966" s="3"/>
      <c r="D966" s="3"/>
      <c r="E966" s="3"/>
      <c r="F966" s="3"/>
      <c r="G966" s="3"/>
      <c r="I966" s="3"/>
    </row>
    <row r="967">
      <c r="C967" s="3"/>
      <c r="D967" s="3"/>
      <c r="E967" s="3"/>
      <c r="F967" s="3"/>
      <c r="G967" s="3"/>
      <c r="I967" s="3"/>
    </row>
    <row r="968">
      <c r="C968" s="3"/>
      <c r="D968" s="3"/>
      <c r="E968" s="3"/>
      <c r="F968" s="3"/>
      <c r="G968" s="3"/>
      <c r="I968" s="3"/>
    </row>
    <row r="969">
      <c r="C969" s="3"/>
      <c r="D969" s="3"/>
      <c r="E969" s="3"/>
      <c r="F969" s="3"/>
      <c r="G969" s="3"/>
      <c r="I969" s="3"/>
    </row>
    <row r="970">
      <c r="C970" s="3"/>
      <c r="D970" s="3"/>
      <c r="E970" s="3"/>
      <c r="F970" s="3"/>
      <c r="G970" s="3"/>
      <c r="I970" s="3"/>
    </row>
    <row r="971">
      <c r="C971" s="3"/>
      <c r="D971" s="3"/>
      <c r="E971" s="3"/>
      <c r="F971" s="3"/>
      <c r="G971" s="3"/>
      <c r="I971" s="3"/>
    </row>
    <row r="972">
      <c r="C972" s="3"/>
      <c r="D972" s="3"/>
      <c r="E972" s="3"/>
      <c r="F972" s="3"/>
      <c r="G972" s="3"/>
      <c r="I972" s="3"/>
    </row>
    <row r="973">
      <c r="C973" s="3"/>
      <c r="D973" s="3"/>
      <c r="E973" s="3"/>
      <c r="F973" s="3"/>
      <c r="G973" s="3"/>
      <c r="I973" s="3"/>
    </row>
    <row r="974">
      <c r="C974" s="3"/>
      <c r="D974" s="3"/>
      <c r="E974" s="3"/>
      <c r="F974" s="3"/>
      <c r="G974" s="3"/>
      <c r="I974" s="3"/>
    </row>
    <row r="975">
      <c r="C975" s="3"/>
      <c r="D975" s="3"/>
      <c r="E975" s="3"/>
      <c r="F975" s="3"/>
      <c r="G975" s="3"/>
      <c r="I975" s="3"/>
    </row>
    <row r="976">
      <c r="C976" s="3"/>
      <c r="D976" s="3"/>
      <c r="E976" s="3"/>
      <c r="F976" s="3"/>
      <c r="G976" s="3"/>
      <c r="I976" s="3"/>
    </row>
    <row r="977">
      <c r="C977" s="3"/>
      <c r="D977" s="3"/>
      <c r="E977" s="3"/>
      <c r="F977" s="3"/>
      <c r="G977" s="3"/>
      <c r="I977" s="3"/>
    </row>
    <row r="978">
      <c r="C978" s="3"/>
      <c r="D978" s="3"/>
      <c r="E978" s="3"/>
      <c r="F978" s="3"/>
      <c r="G978" s="3"/>
      <c r="I978" s="3"/>
    </row>
    <row r="979">
      <c r="C979" s="3"/>
      <c r="D979" s="3"/>
      <c r="E979" s="3"/>
      <c r="F979" s="3"/>
      <c r="G979" s="3"/>
      <c r="I979" s="3"/>
    </row>
    <row r="980">
      <c r="C980" s="3"/>
      <c r="D980" s="3"/>
      <c r="E980" s="3"/>
      <c r="F980" s="3"/>
      <c r="G980" s="3"/>
      <c r="I980" s="3"/>
    </row>
    <row r="981">
      <c r="C981" s="3"/>
      <c r="D981" s="3"/>
      <c r="E981" s="3"/>
      <c r="F981" s="3"/>
      <c r="G981" s="3"/>
      <c r="I981" s="3"/>
    </row>
    <row r="982">
      <c r="C982" s="3"/>
      <c r="D982" s="3"/>
      <c r="E982" s="3"/>
      <c r="F982" s="3"/>
      <c r="G982" s="3"/>
      <c r="I982" s="3"/>
    </row>
    <row r="983">
      <c r="C983" s="3"/>
      <c r="D983" s="3"/>
      <c r="E983" s="3"/>
      <c r="F983" s="3"/>
      <c r="G983" s="3"/>
      <c r="I983" s="3"/>
    </row>
    <row r="984">
      <c r="C984" s="3"/>
      <c r="D984" s="3"/>
      <c r="E984" s="3"/>
      <c r="F984" s="3"/>
      <c r="G984" s="3"/>
      <c r="I984" s="3"/>
    </row>
    <row r="985">
      <c r="C985" s="3"/>
      <c r="D985" s="3"/>
      <c r="E985" s="3"/>
      <c r="F985" s="3"/>
      <c r="G985" s="3"/>
      <c r="I985" s="3"/>
    </row>
    <row r="986">
      <c r="C986" s="3"/>
      <c r="D986" s="3"/>
      <c r="E986" s="3"/>
      <c r="F986" s="3"/>
      <c r="G986" s="3"/>
      <c r="I986" s="3"/>
    </row>
    <row r="987">
      <c r="C987" s="3"/>
      <c r="D987" s="3"/>
      <c r="E987" s="3"/>
      <c r="F987" s="3"/>
      <c r="G987" s="3"/>
      <c r="I987" s="3"/>
    </row>
    <row r="988">
      <c r="C988" s="3"/>
      <c r="D988" s="3"/>
      <c r="E988" s="3"/>
      <c r="F988" s="3"/>
      <c r="G988" s="3"/>
      <c r="I988" s="3"/>
    </row>
    <row r="989">
      <c r="C989" s="3"/>
      <c r="D989" s="3"/>
      <c r="E989" s="3"/>
      <c r="F989" s="3"/>
      <c r="G989" s="3"/>
      <c r="I989" s="3"/>
    </row>
    <row r="990">
      <c r="C990" s="3"/>
      <c r="D990" s="3"/>
      <c r="E990" s="3"/>
      <c r="F990" s="3"/>
      <c r="G990" s="3"/>
      <c r="I990" s="3"/>
    </row>
    <row r="991">
      <c r="C991" s="3"/>
      <c r="D991" s="3"/>
      <c r="E991" s="3"/>
      <c r="F991" s="3"/>
      <c r="G991" s="3"/>
      <c r="I991" s="3"/>
    </row>
    <row r="992">
      <c r="C992" s="3"/>
      <c r="D992" s="3"/>
      <c r="E992" s="3"/>
      <c r="F992" s="3"/>
      <c r="G992" s="3"/>
      <c r="I992" s="3"/>
    </row>
    <row r="993">
      <c r="C993" s="3"/>
      <c r="D993" s="3"/>
      <c r="E993" s="3"/>
      <c r="F993" s="3"/>
      <c r="G993" s="3"/>
      <c r="I993" s="3"/>
    </row>
    <row r="994">
      <c r="C994" s="3"/>
      <c r="D994" s="3"/>
      <c r="E994" s="3"/>
      <c r="F994" s="3"/>
      <c r="G994" s="3"/>
      <c r="I994" s="3"/>
    </row>
    <row r="995">
      <c r="C995" s="3"/>
      <c r="D995" s="3"/>
      <c r="E995" s="3"/>
      <c r="F995" s="3"/>
      <c r="G995" s="3"/>
      <c r="I995" s="3"/>
    </row>
    <row r="996">
      <c r="C996" s="3"/>
      <c r="D996" s="3"/>
      <c r="E996" s="3"/>
      <c r="F996" s="3"/>
      <c r="G996" s="3"/>
      <c r="I996" s="3"/>
    </row>
    <row r="997">
      <c r="C997" s="3"/>
      <c r="D997" s="3"/>
      <c r="E997" s="3"/>
      <c r="F997" s="3"/>
      <c r="G997" s="3"/>
      <c r="I997" s="3"/>
    </row>
    <row r="998">
      <c r="C998" s="3"/>
      <c r="D998" s="3"/>
      <c r="E998" s="3"/>
      <c r="F998" s="3"/>
      <c r="G998" s="3"/>
      <c r="I998" s="3"/>
    </row>
    <row r="999">
      <c r="C999" s="3"/>
      <c r="D999" s="3"/>
      <c r="E999" s="3"/>
      <c r="F999" s="3"/>
      <c r="G999" s="3"/>
      <c r="I999" s="3"/>
    </row>
    <row r="1000">
      <c r="C1000" s="3"/>
      <c r="D1000" s="3"/>
      <c r="E1000" s="3"/>
      <c r="F1000" s="3"/>
      <c r="G1000" s="3"/>
      <c r="I1000" s="3"/>
    </row>
    <row r="1001">
      <c r="C1001" s="3"/>
      <c r="D1001" s="3"/>
      <c r="E1001" s="3"/>
      <c r="F1001" s="3"/>
      <c r="G1001" s="3"/>
      <c r="I1001" s="3"/>
    </row>
  </sheetData>
  <mergeCells count="4">
    <mergeCell ref="A2:A8"/>
    <mergeCell ref="A9:A15"/>
    <mergeCell ref="A16:A22"/>
    <mergeCell ref="A23:A2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23</v>
      </c>
      <c r="D1" s="48" t="s">
        <v>24</v>
      </c>
      <c r="E1" s="48" t="s">
        <v>25</v>
      </c>
      <c r="F1" s="48" t="s">
        <v>26</v>
      </c>
      <c r="G1" s="3"/>
      <c r="I1" s="3"/>
    </row>
    <row r="2">
      <c r="A2" s="4" t="s">
        <v>4</v>
      </c>
      <c r="B2" s="5">
        <v>46174.0</v>
      </c>
      <c r="C2" s="6">
        <v>5927.0</v>
      </c>
      <c r="D2" s="6">
        <v>10482.0</v>
      </c>
      <c r="E2" s="6">
        <v>11558.0</v>
      </c>
      <c r="F2" s="6">
        <v>10547.0</v>
      </c>
      <c r="G2" s="7">
        <f t="shared" ref="G2:G29" si="1">SUM(C2+D2+E2+F2)</f>
        <v>38514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7010.0</v>
      </c>
      <c r="D3" s="6">
        <v>11345.0</v>
      </c>
      <c r="E3" s="6">
        <v>12151.0</v>
      </c>
      <c r="F3" s="6">
        <v>10201.0</v>
      </c>
      <c r="G3" s="7">
        <f t="shared" si="1"/>
        <v>40707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6784.0</v>
      </c>
      <c r="D4" s="6">
        <v>13402.0</v>
      </c>
      <c r="E4" s="6">
        <v>13426.0</v>
      </c>
      <c r="F4" s="6">
        <v>10468.0</v>
      </c>
      <c r="G4" s="7">
        <f t="shared" si="1"/>
        <v>44080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5253.0</v>
      </c>
      <c r="D5" s="6"/>
      <c r="E5" s="6"/>
      <c r="F5" s="9"/>
      <c r="G5" s="7">
        <f t="shared" si="1"/>
        <v>5253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6">
        <v>12120.0</v>
      </c>
      <c r="G8" s="7">
        <f t="shared" si="1"/>
        <v>12120</v>
      </c>
      <c r="H8" s="11" t="s">
        <v>5</v>
      </c>
      <c r="I8" s="12">
        <f>SUM(G2:G8)</f>
        <v>140674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24974</v>
      </c>
      <c r="D30" s="45">
        <f t="shared" si="2"/>
        <v>35229</v>
      </c>
      <c r="E30" s="45">
        <f t="shared" si="2"/>
        <v>37135</v>
      </c>
      <c r="F30" s="45">
        <f t="shared" si="2"/>
        <v>43336</v>
      </c>
      <c r="G30" s="45">
        <f t="shared" si="2"/>
        <v>140674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27</v>
      </c>
      <c r="D1" s="48" t="s">
        <v>28</v>
      </c>
      <c r="E1" s="48" t="s">
        <v>29</v>
      </c>
      <c r="F1" s="48" t="s">
        <v>30</v>
      </c>
      <c r="G1" s="3"/>
      <c r="I1" s="3"/>
    </row>
    <row r="2">
      <c r="A2" s="4" t="s">
        <v>4</v>
      </c>
      <c r="B2" s="5">
        <v>46174.0</v>
      </c>
      <c r="C2" s="6">
        <v>13197.0</v>
      </c>
      <c r="D2" s="6">
        <v>18502.0</v>
      </c>
      <c r="E2" s="6">
        <v>6882.0</v>
      </c>
      <c r="F2" s="6">
        <v>8651.0</v>
      </c>
      <c r="G2" s="7">
        <f t="shared" ref="G2:G29" si="1">SUM(C2+D2+E2+F2)</f>
        <v>47232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7259.0</v>
      </c>
      <c r="D3" s="6">
        <v>22167.0</v>
      </c>
      <c r="E3" s="6">
        <v>7603.0</v>
      </c>
      <c r="F3" s="6">
        <v>9909.0</v>
      </c>
      <c r="G3" s="7">
        <f t="shared" si="1"/>
        <v>46938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12611.0</v>
      </c>
      <c r="D4" s="6">
        <v>17226.0</v>
      </c>
      <c r="E4" s="6">
        <v>9547.0</v>
      </c>
      <c r="F4" s="6">
        <v>5144.0</v>
      </c>
      <c r="G4" s="7">
        <f t="shared" si="1"/>
        <v>44528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10771.0</v>
      </c>
      <c r="D5" s="6">
        <v>16083.0</v>
      </c>
      <c r="E5" s="6">
        <v>11246.0</v>
      </c>
      <c r="F5" s="6">
        <v>7845.0</v>
      </c>
      <c r="G5" s="7">
        <f t="shared" si="1"/>
        <v>45945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184643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43838</v>
      </c>
      <c r="D30" s="45">
        <f t="shared" si="2"/>
        <v>73978</v>
      </c>
      <c r="E30" s="45">
        <f t="shared" si="2"/>
        <v>35278</v>
      </c>
      <c r="F30" s="45">
        <f t="shared" si="2"/>
        <v>31549</v>
      </c>
      <c r="G30" s="45">
        <f t="shared" si="2"/>
        <v>184643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31</v>
      </c>
      <c r="D1" s="48" t="s">
        <v>32</v>
      </c>
      <c r="E1" s="48" t="s">
        <v>33</v>
      </c>
      <c r="F1" s="48" t="s">
        <v>34</v>
      </c>
      <c r="G1" s="3"/>
      <c r="I1" s="3"/>
    </row>
    <row r="2">
      <c r="A2" s="4" t="s">
        <v>4</v>
      </c>
      <c r="B2" s="5">
        <v>46174.0</v>
      </c>
      <c r="C2" s="6">
        <v>10193.0</v>
      </c>
      <c r="D2" s="6">
        <v>9287.0</v>
      </c>
      <c r="E2" s="6">
        <v>13095.0</v>
      </c>
      <c r="F2" s="6">
        <v>11472.0</v>
      </c>
      <c r="G2" s="7">
        <f t="shared" ref="G2:G29" si="1">SUM(C2+D2+E2+F2)</f>
        <v>44047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13403.0</v>
      </c>
      <c r="D3" s="6">
        <v>6033.0</v>
      </c>
      <c r="E3" s="6">
        <v>13328.0</v>
      </c>
      <c r="F3" s="6">
        <v>13815.0</v>
      </c>
      <c r="G3" s="7">
        <f t="shared" si="1"/>
        <v>46579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11815.0</v>
      </c>
      <c r="D4" s="6">
        <v>4789.0</v>
      </c>
      <c r="E4" s="6">
        <v>16684.0</v>
      </c>
      <c r="F4" s="49">
        <v>11448.0</v>
      </c>
      <c r="G4" s="7">
        <f t="shared" si="1"/>
        <v>44736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11570.0</v>
      </c>
      <c r="D5" s="6">
        <v>8010.0</v>
      </c>
      <c r="E5" s="6">
        <v>14629.0</v>
      </c>
      <c r="F5" s="49">
        <v>14735.0</v>
      </c>
      <c r="G5" s="7">
        <f t="shared" si="1"/>
        <v>48944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10298.0</v>
      </c>
      <c r="D6" s="6"/>
      <c r="E6" s="6">
        <v>11885.0</v>
      </c>
      <c r="F6" s="9"/>
      <c r="G6" s="7">
        <f t="shared" si="1"/>
        <v>22183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206489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57279</v>
      </c>
      <c r="D30" s="45">
        <f t="shared" si="2"/>
        <v>28119</v>
      </c>
      <c r="E30" s="45">
        <f t="shared" si="2"/>
        <v>69621</v>
      </c>
      <c r="F30" s="45">
        <f t="shared" si="2"/>
        <v>51470</v>
      </c>
      <c r="G30" s="45">
        <f t="shared" si="2"/>
        <v>206489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35</v>
      </c>
      <c r="D31" s="46" t="s">
        <v>36</v>
      </c>
      <c r="E31" s="46" t="s">
        <v>37</v>
      </c>
      <c r="F31" s="46" t="s">
        <v>38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39</v>
      </c>
      <c r="D1" s="48" t="s">
        <v>40</v>
      </c>
      <c r="E1" s="48" t="s">
        <v>41</v>
      </c>
      <c r="F1" s="51" t="s">
        <v>42</v>
      </c>
      <c r="G1" s="3"/>
      <c r="I1" s="3"/>
    </row>
    <row r="2">
      <c r="A2" s="4" t="s">
        <v>4</v>
      </c>
      <c r="B2" s="5">
        <v>46174.0</v>
      </c>
      <c r="C2" s="6">
        <v>13021.0</v>
      </c>
      <c r="D2" s="6">
        <v>7311.0</v>
      </c>
      <c r="E2" s="6">
        <v>9616.0</v>
      </c>
      <c r="F2" s="6">
        <v>18098.0</v>
      </c>
      <c r="G2" s="7">
        <f t="shared" ref="G2:G29" si="1">SUM(C2+D2+E2+F2)</f>
        <v>48046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11020.0</v>
      </c>
      <c r="D3" s="6">
        <v>10756.0</v>
      </c>
      <c r="E3" s="6">
        <v>10118.0</v>
      </c>
      <c r="F3" s="6">
        <v>15120.0</v>
      </c>
      <c r="G3" s="7">
        <f t="shared" si="1"/>
        <v>47014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15523.0</v>
      </c>
      <c r="D4" s="6">
        <v>11012.0</v>
      </c>
      <c r="E4" s="6">
        <v>9580.0</v>
      </c>
      <c r="F4" s="49">
        <v>15886.0</v>
      </c>
      <c r="G4" s="7">
        <f t="shared" si="1"/>
        <v>52001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11401.0</v>
      </c>
      <c r="D5" s="6">
        <v>11680.0</v>
      </c>
      <c r="E5" s="6">
        <v>11860.0</v>
      </c>
      <c r="F5" s="49">
        <v>16432.0</v>
      </c>
      <c r="G5" s="7">
        <f t="shared" si="1"/>
        <v>51373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16206.0</v>
      </c>
      <c r="D6" s="6">
        <v>11181.0</v>
      </c>
      <c r="E6" s="6">
        <v>12586.0</v>
      </c>
      <c r="F6" s="49">
        <v>14574.0</v>
      </c>
      <c r="G6" s="7">
        <f t="shared" si="1"/>
        <v>54547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252981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67171</v>
      </c>
      <c r="D30" s="45">
        <f t="shared" si="2"/>
        <v>51940</v>
      </c>
      <c r="E30" s="45">
        <f t="shared" si="2"/>
        <v>53760</v>
      </c>
      <c r="F30" s="45">
        <f t="shared" si="2"/>
        <v>80110</v>
      </c>
      <c r="G30" s="45">
        <f t="shared" si="2"/>
        <v>252981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43</v>
      </c>
      <c r="D1" s="48" t="s">
        <v>44</v>
      </c>
      <c r="E1" s="52" t="s">
        <v>45</v>
      </c>
      <c r="F1" s="48" t="s">
        <v>46</v>
      </c>
      <c r="G1" s="3"/>
      <c r="I1" s="3"/>
    </row>
    <row r="2">
      <c r="A2" s="4" t="s">
        <v>4</v>
      </c>
      <c r="B2" s="5">
        <v>46174.0</v>
      </c>
      <c r="C2" s="6">
        <v>14276.0</v>
      </c>
      <c r="D2" s="6">
        <v>6406.0</v>
      </c>
      <c r="E2" s="6">
        <v>22763.0</v>
      </c>
      <c r="F2" s="6">
        <v>10992.0</v>
      </c>
      <c r="G2" s="7">
        <f t="shared" ref="G2:G29" si="1">SUM(C2+D2+E2+F2)</f>
        <v>54437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17087.0</v>
      </c>
      <c r="D3" s="6">
        <v>10097.0</v>
      </c>
      <c r="E3" s="6">
        <v>20472.0</v>
      </c>
      <c r="F3" s="6">
        <v>11773.0</v>
      </c>
      <c r="G3" s="7">
        <f t="shared" si="1"/>
        <v>59429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18150.0</v>
      </c>
      <c r="D4" s="6">
        <v>10063.0</v>
      </c>
      <c r="E4" s="6">
        <v>21225.0</v>
      </c>
      <c r="F4" s="6">
        <v>7430.0</v>
      </c>
      <c r="G4" s="7">
        <f t="shared" si="1"/>
        <v>56868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18133.0</v>
      </c>
      <c r="D5" s="6">
        <v>10093.0</v>
      </c>
      <c r="E5" s="6">
        <v>20495.0</v>
      </c>
      <c r="F5" s="6">
        <v>11666.0</v>
      </c>
      <c r="G5" s="7">
        <f t="shared" si="1"/>
        <v>60387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231121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67646</v>
      </c>
      <c r="D30" s="45">
        <f t="shared" si="2"/>
        <v>36659</v>
      </c>
      <c r="E30" s="45">
        <f t="shared" si="2"/>
        <v>84955</v>
      </c>
      <c r="F30" s="45">
        <f t="shared" si="2"/>
        <v>41861</v>
      </c>
      <c r="G30" s="45">
        <f t="shared" si="2"/>
        <v>231121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47</v>
      </c>
      <c r="D1" s="48" t="s">
        <v>48</v>
      </c>
      <c r="E1" s="48" t="s">
        <v>49</v>
      </c>
      <c r="F1" s="48" t="s">
        <v>50</v>
      </c>
      <c r="G1" s="3"/>
      <c r="I1" s="3"/>
    </row>
    <row r="2">
      <c r="A2" s="4" t="s">
        <v>4</v>
      </c>
      <c r="B2" s="5">
        <v>46174.0</v>
      </c>
      <c r="C2" s="6">
        <v>14140.0</v>
      </c>
      <c r="D2" s="6">
        <v>11318.0</v>
      </c>
      <c r="E2" s="6">
        <v>10030.0</v>
      </c>
      <c r="F2" s="6">
        <v>14274.0</v>
      </c>
      <c r="G2" s="7">
        <f t="shared" ref="G2:G29" si="1">SUM(C2+D2+E2+F2)</f>
        <v>49762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11785.0</v>
      </c>
      <c r="D3" s="6">
        <v>11414.0</v>
      </c>
      <c r="E3" s="6">
        <v>10006.0</v>
      </c>
      <c r="F3" s="6">
        <v>13310.0</v>
      </c>
      <c r="G3" s="7">
        <f t="shared" si="1"/>
        <v>46515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13307.0</v>
      </c>
      <c r="D4" s="6">
        <v>13289.0</v>
      </c>
      <c r="E4" s="6">
        <v>10085.0</v>
      </c>
      <c r="F4" s="49">
        <v>13447.0</v>
      </c>
      <c r="G4" s="7">
        <f t="shared" si="1"/>
        <v>50128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/>
      <c r="D5" s="6"/>
      <c r="E5" s="6"/>
      <c r="F5" s="9"/>
      <c r="G5" s="7">
        <f t="shared" si="1"/>
        <v>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146405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39232</v>
      </c>
      <c r="D30" s="45">
        <f t="shared" si="2"/>
        <v>36021</v>
      </c>
      <c r="E30" s="45">
        <f t="shared" si="2"/>
        <v>30121</v>
      </c>
      <c r="F30" s="45">
        <f t="shared" si="2"/>
        <v>41031</v>
      </c>
      <c r="G30" s="45">
        <f t="shared" si="2"/>
        <v>146405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51</v>
      </c>
      <c r="D1" s="48" t="s">
        <v>52</v>
      </c>
      <c r="E1" s="48" t="s">
        <v>53</v>
      </c>
      <c r="F1" s="48" t="s">
        <v>54</v>
      </c>
      <c r="G1" s="3"/>
      <c r="I1" s="3"/>
    </row>
    <row r="2">
      <c r="A2" s="4" t="s">
        <v>4</v>
      </c>
      <c r="B2" s="5">
        <v>46174.0</v>
      </c>
      <c r="C2" s="6">
        <v>13026.0</v>
      </c>
      <c r="D2" s="6">
        <v>16032.0</v>
      </c>
      <c r="E2" s="6">
        <v>15885.0</v>
      </c>
      <c r="F2" s="6">
        <v>8376.0</v>
      </c>
      <c r="G2" s="7">
        <f t="shared" ref="G2:G29" si="1">SUM(C2+D2+E2+F2)</f>
        <v>53319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16375.0</v>
      </c>
      <c r="D3" s="6">
        <v>10633.0</v>
      </c>
      <c r="E3" s="6">
        <v>13109.0</v>
      </c>
      <c r="F3" s="19">
        <v>18363.0</v>
      </c>
      <c r="G3" s="7">
        <f t="shared" si="1"/>
        <v>58480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12301.0</v>
      </c>
      <c r="D4" s="6">
        <v>15881.0</v>
      </c>
      <c r="E4" s="6">
        <v>18181.0</v>
      </c>
      <c r="F4" s="6">
        <v>8294.0</v>
      </c>
      <c r="G4" s="7">
        <f t="shared" si="1"/>
        <v>54657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13956.0</v>
      </c>
      <c r="D5" s="6">
        <v>9013.0</v>
      </c>
      <c r="E5" s="6">
        <v>15158.0</v>
      </c>
      <c r="F5" s="6">
        <v>13146.0</v>
      </c>
      <c r="G5" s="7">
        <f t="shared" si="1"/>
        <v>51273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6089.0</v>
      </c>
      <c r="D6" s="6">
        <v>11574.0</v>
      </c>
      <c r="E6" s="6">
        <v>20743.0</v>
      </c>
      <c r="F6" s="6">
        <v>14511.0</v>
      </c>
      <c r="G6" s="7">
        <f t="shared" si="1"/>
        <v>52917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270646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19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61747</v>
      </c>
      <c r="D30" s="45">
        <f t="shared" si="2"/>
        <v>63133</v>
      </c>
      <c r="E30" s="45">
        <f t="shared" si="2"/>
        <v>83076</v>
      </c>
      <c r="F30" s="45">
        <f t="shared" si="2"/>
        <v>62690</v>
      </c>
      <c r="G30" s="45">
        <f t="shared" si="2"/>
        <v>270646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55</v>
      </c>
      <c r="D1" s="48" t="s">
        <v>56</v>
      </c>
      <c r="E1" s="48" t="s">
        <v>57</v>
      </c>
      <c r="F1" s="48" t="s">
        <v>58</v>
      </c>
      <c r="G1" s="3"/>
      <c r="I1" s="3"/>
    </row>
    <row r="2">
      <c r="A2" s="4" t="s">
        <v>4</v>
      </c>
      <c r="B2" s="5">
        <v>46174.0</v>
      </c>
      <c r="C2" s="6">
        <v>11138.0</v>
      </c>
      <c r="D2" s="6">
        <v>10511.0</v>
      </c>
      <c r="E2" s="6">
        <v>15101.0</v>
      </c>
      <c r="F2" s="6">
        <v>10459.0</v>
      </c>
      <c r="G2" s="7">
        <f t="shared" ref="G2:G29" si="1">SUM(C2+D2+E2+F2)</f>
        <v>47209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14633.0</v>
      </c>
      <c r="D3" s="6">
        <v>21010.0</v>
      </c>
      <c r="E3" s="6">
        <v>17224.0</v>
      </c>
      <c r="F3" s="6">
        <v>11988.0</v>
      </c>
      <c r="G3" s="7">
        <f t="shared" si="1"/>
        <v>64855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11921.0</v>
      </c>
      <c r="D4" s="6">
        <v>21651.0</v>
      </c>
      <c r="E4" s="6">
        <v>12032.0</v>
      </c>
      <c r="F4" s="49">
        <v>11782.0</v>
      </c>
      <c r="G4" s="7">
        <f t="shared" si="1"/>
        <v>57386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9152.0</v>
      </c>
      <c r="D5" s="6">
        <v>17762.0</v>
      </c>
      <c r="E5" s="6">
        <v>14457.0</v>
      </c>
      <c r="F5" s="49">
        <v>9042.0</v>
      </c>
      <c r="G5" s="7">
        <f t="shared" si="1"/>
        <v>50413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219863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46844</v>
      </c>
      <c r="D30" s="45">
        <f t="shared" si="2"/>
        <v>70934</v>
      </c>
      <c r="E30" s="45">
        <f t="shared" si="2"/>
        <v>58814</v>
      </c>
      <c r="F30" s="45">
        <f t="shared" si="2"/>
        <v>43271</v>
      </c>
      <c r="G30" s="45">
        <f t="shared" si="2"/>
        <v>219863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59</v>
      </c>
      <c r="D1" s="48" t="s">
        <v>60</v>
      </c>
      <c r="E1" s="48" t="s">
        <v>61</v>
      </c>
      <c r="F1" s="48" t="s">
        <v>62</v>
      </c>
      <c r="G1" s="3"/>
      <c r="I1" s="3"/>
    </row>
    <row r="2">
      <c r="A2" s="4" t="s">
        <v>4</v>
      </c>
      <c r="B2" s="5">
        <v>46174.0</v>
      </c>
      <c r="C2" s="6">
        <v>20143.0</v>
      </c>
      <c r="D2" s="6">
        <v>10815.0</v>
      </c>
      <c r="E2" s="6">
        <v>10316.0</v>
      </c>
      <c r="F2" s="6">
        <v>14680.0</v>
      </c>
      <c r="G2" s="7">
        <f t="shared" ref="G2:G29" si="1">SUM(C2+D2+E2+F2)</f>
        <v>55954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17403.0</v>
      </c>
      <c r="D3" s="6">
        <v>14387.0</v>
      </c>
      <c r="E3" s="6">
        <v>10011.0</v>
      </c>
      <c r="F3" s="6">
        <v>12861.0</v>
      </c>
      <c r="G3" s="7">
        <f t="shared" si="1"/>
        <v>54662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24255.0</v>
      </c>
      <c r="D4" s="6">
        <v>10393.0</v>
      </c>
      <c r="E4" s="6">
        <v>10304.0</v>
      </c>
      <c r="F4" s="49">
        <v>14286.0</v>
      </c>
      <c r="G4" s="7">
        <f t="shared" si="1"/>
        <v>59238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15682.0</v>
      </c>
      <c r="D5" s="6">
        <v>14842.0</v>
      </c>
      <c r="E5" s="6">
        <v>11224.0</v>
      </c>
      <c r="F5" s="49">
        <v>8883.0</v>
      </c>
      <c r="G5" s="7">
        <f t="shared" si="1"/>
        <v>50631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220485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77483</v>
      </c>
      <c r="D30" s="45">
        <f t="shared" si="2"/>
        <v>50437</v>
      </c>
      <c r="E30" s="45">
        <f t="shared" si="2"/>
        <v>41855</v>
      </c>
      <c r="F30" s="45">
        <f t="shared" si="2"/>
        <v>50710</v>
      </c>
      <c r="G30" s="45">
        <f t="shared" si="2"/>
        <v>220485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63</v>
      </c>
      <c r="D1" s="48" t="s">
        <v>64</v>
      </c>
      <c r="E1" s="48" t="s">
        <v>65</v>
      </c>
      <c r="F1" s="48" t="s">
        <v>66</v>
      </c>
      <c r="G1" s="3"/>
      <c r="I1" s="3"/>
    </row>
    <row r="2">
      <c r="A2" s="4" t="s">
        <v>4</v>
      </c>
      <c r="B2" s="5">
        <v>46174.0</v>
      </c>
      <c r="C2" s="6">
        <v>8453.0</v>
      </c>
      <c r="D2" s="6">
        <v>26420.0</v>
      </c>
      <c r="E2" s="6">
        <v>11154.0</v>
      </c>
      <c r="F2" s="6">
        <v>11113.0</v>
      </c>
      <c r="G2" s="7">
        <f t="shared" ref="G2:G29" si="1">SUM(C2+D2+E2+F2)</f>
        <v>57140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7668.0</v>
      </c>
      <c r="D3" s="6">
        <v>22154.0</v>
      </c>
      <c r="E3" s="6">
        <v>11284.0</v>
      </c>
      <c r="F3" s="6">
        <v>14271.0</v>
      </c>
      <c r="G3" s="7">
        <f t="shared" si="1"/>
        <v>55377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15257.0</v>
      </c>
      <c r="D4" s="6">
        <v>16144.0</v>
      </c>
      <c r="E4" s="6">
        <v>11630.0</v>
      </c>
      <c r="F4" s="49">
        <v>16128.0</v>
      </c>
      <c r="G4" s="7">
        <f t="shared" si="1"/>
        <v>59159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11361.0</v>
      </c>
      <c r="D5" s="6">
        <v>16644.0</v>
      </c>
      <c r="E5" s="6">
        <v>16203.0</v>
      </c>
      <c r="F5" s="49">
        <v>13255.0</v>
      </c>
      <c r="G5" s="7">
        <f t="shared" si="1"/>
        <v>57463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10272.0</v>
      </c>
      <c r="D6" s="6">
        <v>19393.0</v>
      </c>
      <c r="E6" s="6">
        <v>10871.0</v>
      </c>
      <c r="F6" s="49">
        <v>10978.0</v>
      </c>
      <c r="G6" s="7">
        <f t="shared" si="1"/>
        <v>51514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280653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53011</v>
      </c>
      <c r="D30" s="45">
        <f t="shared" si="2"/>
        <v>100755</v>
      </c>
      <c r="E30" s="45">
        <f t="shared" si="2"/>
        <v>61142</v>
      </c>
      <c r="F30" s="45">
        <f t="shared" si="2"/>
        <v>65745</v>
      </c>
      <c r="G30" s="45">
        <f t="shared" si="2"/>
        <v>280653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A1" s="53" t="s">
        <v>67</v>
      </c>
      <c r="C1" s="47" t="s">
        <v>68</v>
      </c>
      <c r="D1" s="48" t="s">
        <v>69</v>
      </c>
      <c r="E1" s="48" t="s">
        <v>70</v>
      </c>
      <c r="F1" s="48" t="s">
        <v>71</v>
      </c>
      <c r="G1" s="3"/>
      <c r="I1" s="3"/>
    </row>
    <row r="2">
      <c r="A2" s="4" t="s">
        <v>4</v>
      </c>
      <c r="B2" s="5">
        <v>46174.0</v>
      </c>
      <c r="C2" s="6">
        <v>16247.0</v>
      </c>
      <c r="D2" s="6">
        <v>12220.0</v>
      </c>
      <c r="E2" s="6">
        <v>15633.0</v>
      </c>
      <c r="F2" s="6">
        <v>13408.0</v>
      </c>
      <c r="G2" s="7">
        <f t="shared" ref="G2:G29" si="1">SUM(C2+D2+E2+F2)</f>
        <v>57508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14107.0</v>
      </c>
      <c r="D3" s="6">
        <v>14009.0</v>
      </c>
      <c r="E3" s="6">
        <v>13521.0</v>
      </c>
      <c r="F3" s="6">
        <v>18577.0</v>
      </c>
      <c r="G3" s="7">
        <f t="shared" si="1"/>
        <v>60214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11853.0</v>
      </c>
      <c r="D4" s="6">
        <v>10068.0</v>
      </c>
      <c r="E4" s="6">
        <v>3967.0</v>
      </c>
      <c r="F4" s="49">
        <v>12976.0</v>
      </c>
      <c r="G4" s="7">
        <f t="shared" si="1"/>
        <v>38864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12809.0</v>
      </c>
      <c r="D5" s="6">
        <v>12504.0</v>
      </c>
      <c r="E5" s="6">
        <v>9198.0</v>
      </c>
      <c r="F5" s="49">
        <v>13812.0</v>
      </c>
      <c r="G5" s="7">
        <f t="shared" si="1"/>
        <v>48323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8524.0</v>
      </c>
      <c r="D6" s="6">
        <v>10131.0</v>
      </c>
      <c r="E6" s="6">
        <v>2752.0</v>
      </c>
      <c r="F6" s="6">
        <v>11325.0</v>
      </c>
      <c r="G6" s="7">
        <f t="shared" si="1"/>
        <v>32732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237641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63540</v>
      </c>
      <c r="D30" s="45">
        <f t="shared" si="2"/>
        <v>58932</v>
      </c>
      <c r="E30" s="45">
        <f t="shared" si="2"/>
        <v>45071</v>
      </c>
      <c r="F30" s="45">
        <f t="shared" si="2"/>
        <v>70098</v>
      </c>
      <c r="G30" s="45">
        <f t="shared" si="2"/>
        <v>237641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72</v>
      </c>
      <c r="D1" s="48" t="s">
        <v>73</v>
      </c>
      <c r="E1" s="48" t="s">
        <v>74</v>
      </c>
      <c r="F1" s="48" t="s">
        <v>75</v>
      </c>
      <c r="G1" s="3"/>
      <c r="I1" s="3"/>
    </row>
    <row r="2">
      <c r="A2" s="4" t="s">
        <v>4</v>
      </c>
      <c r="B2" s="5">
        <v>46174.0</v>
      </c>
      <c r="C2" s="6">
        <v>18429.0</v>
      </c>
      <c r="D2" s="6">
        <v>11862.0</v>
      </c>
      <c r="E2" s="6">
        <v>10779.0</v>
      </c>
      <c r="F2" s="6">
        <v>7724.0</v>
      </c>
      <c r="G2" s="7">
        <f t="shared" ref="G2:G29" si="1">SUM(C2+D2+E2+F2)</f>
        <v>48794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22351.0</v>
      </c>
      <c r="D3" s="6">
        <v>14797.0</v>
      </c>
      <c r="E3" s="6">
        <v>13296.0</v>
      </c>
      <c r="F3" s="6">
        <v>15712.0</v>
      </c>
      <c r="G3" s="7">
        <f t="shared" si="1"/>
        <v>66156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22908.0</v>
      </c>
      <c r="D4" s="6">
        <v>13892.0</v>
      </c>
      <c r="E4" s="6">
        <v>16626.0</v>
      </c>
      <c r="F4" s="49">
        <v>16723.0</v>
      </c>
      <c r="G4" s="7">
        <f t="shared" si="1"/>
        <v>70149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21380.0</v>
      </c>
      <c r="D5" s="6">
        <v>11920.0</v>
      </c>
      <c r="E5" s="6">
        <v>16330.0</v>
      </c>
      <c r="F5" s="49">
        <v>19155.0</v>
      </c>
      <c r="G5" s="7">
        <f t="shared" si="1"/>
        <v>68785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253884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85068</v>
      </c>
      <c r="D30" s="45">
        <f t="shared" si="2"/>
        <v>52471</v>
      </c>
      <c r="E30" s="45">
        <f t="shared" si="2"/>
        <v>57031</v>
      </c>
      <c r="F30" s="45">
        <f t="shared" si="2"/>
        <v>59314</v>
      </c>
      <c r="G30" s="45">
        <f t="shared" si="2"/>
        <v>253884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76</v>
      </c>
      <c r="D1" s="48" t="s">
        <v>77</v>
      </c>
      <c r="E1" s="48" t="s">
        <v>78</v>
      </c>
      <c r="F1" s="48" t="s">
        <v>79</v>
      </c>
      <c r="G1" s="3"/>
      <c r="I1" s="3"/>
    </row>
    <row r="2">
      <c r="A2" s="4" t="s">
        <v>4</v>
      </c>
      <c r="B2" s="5">
        <v>46174.0</v>
      </c>
      <c r="C2" s="6">
        <v>15205.0</v>
      </c>
      <c r="D2" s="6">
        <v>11171.0</v>
      </c>
      <c r="E2" s="6">
        <v>12828.0</v>
      </c>
      <c r="F2" s="6">
        <v>9879.0</v>
      </c>
      <c r="G2" s="7">
        <f t="shared" ref="G2:G29" si="1">SUM(C2+D2+E2+F2)</f>
        <v>49083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15782.0</v>
      </c>
      <c r="D3" s="6">
        <v>21720.0</v>
      </c>
      <c r="E3" s="6">
        <v>14157.0</v>
      </c>
      <c r="F3" s="6">
        <v>15147.0</v>
      </c>
      <c r="G3" s="7">
        <f t="shared" si="1"/>
        <v>66806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16386.0</v>
      </c>
      <c r="D4" s="6">
        <v>12861.0</v>
      </c>
      <c r="E4" s="6">
        <v>12364.0</v>
      </c>
      <c r="F4" s="49">
        <v>14477.0</v>
      </c>
      <c r="G4" s="7">
        <f t="shared" si="1"/>
        <v>56088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17625.0</v>
      </c>
      <c r="D5" s="6">
        <v>10933.0</v>
      </c>
      <c r="E5" s="6">
        <v>13221.0</v>
      </c>
      <c r="F5" s="49">
        <v>15406.0</v>
      </c>
      <c r="G5" s="7">
        <f t="shared" si="1"/>
        <v>57185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10058.0</v>
      </c>
      <c r="D6" s="6">
        <v>12519.0</v>
      </c>
      <c r="E6" s="6">
        <v>10955.0</v>
      </c>
      <c r="F6" s="49">
        <v>15898.0</v>
      </c>
      <c r="G6" s="7">
        <f t="shared" si="1"/>
        <v>49430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278592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75056</v>
      </c>
      <c r="D30" s="45">
        <f t="shared" si="2"/>
        <v>69204</v>
      </c>
      <c r="E30" s="45">
        <f t="shared" si="2"/>
        <v>63525</v>
      </c>
      <c r="F30" s="45">
        <f t="shared" si="2"/>
        <v>70807</v>
      </c>
      <c r="G30" s="45">
        <f t="shared" si="2"/>
        <v>278592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80</v>
      </c>
      <c r="D1" s="48" t="s">
        <v>81</v>
      </c>
      <c r="E1" s="48" t="s">
        <v>82</v>
      </c>
      <c r="F1" s="48" t="s">
        <v>83</v>
      </c>
      <c r="G1" s="3"/>
      <c r="I1" s="3"/>
    </row>
    <row r="2">
      <c r="A2" s="4" t="s">
        <v>4</v>
      </c>
      <c r="B2" s="5">
        <v>46174.0</v>
      </c>
      <c r="C2" s="54">
        <v>11257.0</v>
      </c>
      <c r="D2" s="54">
        <v>3159.0</v>
      </c>
      <c r="E2" s="54">
        <v>26305.0</v>
      </c>
      <c r="F2" s="54">
        <v>12040.0</v>
      </c>
      <c r="G2" s="7">
        <f t="shared" ref="G2:G29" si="1">SUM(C2+D2+E2+F2)</f>
        <v>52761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15214.0</v>
      </c>
      <c r="D3" s="6">
        <v>8075.0</v>
      </c>
      <c r="E3" s="6">
        <v>28300.0</v>
      </c>
      <c r="F3" s="6">
        <v>15159.0</v>
      </c>
      <c r="G3" s="7">
        <f t="shared" si="1"/>
        <v>66748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15498.0</v>
      </c>
      <c r="D4" s="6">
        <v>285.0</v>
      </c>
      <c r="E4" s="6">
        <v>16794.0</v>
      </c>
      <c r="F4" s="6">
        <v>16059.0</v>
      </c>
      <c r="G4" s="7">
        <f t="shared" si="1"/>
        <v>48636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13592.0</v>
      </c>
      <c r="D5" s="6">
        <v>5356.0</v>
      </c>
      <c r="E5" s="6">
        <v>20529.0</v>
      </c>
      <c r="F5" s="6">
        <v>16375.0</v>
      </c>
      <c r="G5" s="7">
        <f t="shared" si="1"/>
        <v>55852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12420.0</v>
      </c>
      <c r="D6" s="6">
        <v>8028.0</v>
      </c>
      <c r="E6" s="6">
        <v>16468.0</v>
      </c>
      <c r="F6" s="6">
        <v>15510.0</v>
      </c>
      <c r="G6" s="7">
        <f t="shared" si="1"/>
        <v>52426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276423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67981</v>
      </c>
      <c r="D30" s="45">
        <f t="shared" si="2"/>
        <v>24903</v>
      </c>
      <c r="E30" s="45">
        <f t="shared" si="2"/>
        <v>108396</v>
      </c>
      <c r="F30" s="45">
        <f t="shared" si="2"/>
        <v>75143</v>
      </c>
      <c r="G30" s="45">
        <f t="shared" si="2"/>
        <v>276423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84</v>
      </c>
      <c r="D1" s="48" t="s">
        <v>85</v>
      </c>
      <c r="E1" s="48" t="s">
        <v>86</v>
      </c>
      <c r="F1" s="48" t="s">
        <v>87</v>
      </c>
      <c r="G1" s="3"/>
      <c r="I1" s="3"/>
    </row>
    <row r="2">
      <c r="A2" s="4" t="s">
        <v>4</v>
      </c>
      <c r="B2" s="5">
        <v>46174.0</v>
      </c>
      <c r="C2" s="6">
        <v>16486.0</v>
      </c>
      <c r="D2" s="6">
        <v>7868.0</v>
      </c>
      <c r="E2" s="6">
        <v>13359.0</v>
      </c>
      <c r="F2" s="6">
        <v>4941.0</v>
      </c>
      <c r="G2" s="7">
        <f t="shared" ref="G2:G29" si="1">SUM(C2+D2+E2+F2)</f>
        <v>42654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24382.0</v>
      </c>
      <c r="D3" s="6">
        <v>14601.0</v>
      </c>
      <c r="E3" s="6">
        <v>12935.0</v>
      </c>
      <c r="F3" s="6">
        <v>6063.0</v>
      </c>
      <c r="G3" s="7">
        <f t="shared" si="1"/>
        <v>57981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22816.0</v>
      </c>
      <c r="D4" s="6">
        <v>7426.0</v>
      </c>
      <c r="E4" s="6">
        <v>12172.0</v>
      </c>
      <c r="F4" s="6">
        <v>4791.0</v>
      </c>
      <c r="G4" s="7">
        <f t="shared" si="1"/>
        <v>47205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19550.0</v>
      </c>
      <c r="D5" s="6">
        <v>12318.0</v>
      </c>
      <c r="E5" s="6">
        <v>17956.0</v>
      </c>
      <c r="F5" s="6">
        <v>6943.0</v>
      </c>
      <c r="G5" s="7">
        <f t="shared" si="1"/>
        <v>56767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204607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83234</v>
      </c>
      <c r="D30" s="45">
        <f t="shared" si="2"/>
        <v>42213</v>
      </c>
      <c r="E30" s="45">
        <f t="shared" si="2"/>
        <v>56422</v>
      </c>
      <c r="F30" s="45">
        <f t="shared" si="2"/>
        <v>22738</v>
      </c>
      <c r="G30" s="45">
        <f t="shared" si="2"/>
        <v>204607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88</v>
      </c>
      <c r="D1" s="55" t="s">
        <v>89</v>
      </c>
      <c r="E1" s="48" t="s">
        <v>90</v>
      </c>
      <c r="F1" s="48" t="s">
        <v>91</v>
      </c>
      <c r="G1" s="3"/>
      <c r="I1" s="3"/>
    </row>
    <row r="2">
      <c r="A2" s="4" t="s">
        <v>4</v>
      </c>
      <c r="B2" s="5">
        <v>46174.0</v>
      </c>
      <c r="C2" s="6">
        <v>8597.0</v>
      </c>
      <c r="D2" s="6">
        <v>9456.0</v>
      </c>
      <c r="E2" s="6">
        <v>3757.0</v>
      </c>
      <c r="F2" s="6">
        <v>7627.0</v>
      </c>
      <c r="G2" s="7">
        <f t="shared" ref="G2:G29" si="1">SUM(C2+D2+E2+F2)</f>
        <v>29437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10491.0</v>
      </c>
      <c r="D3" s="6">
        <v>10797.0</v>
      </c>
      <c r="E3" s="6">
        <v>9165.0</v>
      </c>
      <c r="F3" s="6">
        <v>9457.0</v>
      </c>
      <c r="G3" s="7">
        <f t="shared" si="1"/>
        <v>39910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12298.0</v>
      </c>
      <c r="D4" s="6">
        <v>13196.0</v>
      </c>
      <c r="E4" s="6">
        <v>8954.0</v>
      </c>
      <c r="F4" s="9"/>
      <c r="G4" s="7">
        <f t="shared" si="1"/>
        <v>34448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/>
      <c r="D5" s="6"/>
      <c r="E5" s="6"/>
      <c r="F5" s="9"/>
      <c r="G5" s="7">
        <f t="shared" si="1"/>
        <v>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103795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31386</v>
      </c>
      <c r="D30" s="45">
        <f t="shared" si="2"/>
        <v>33449</v>
      </c>
      <c r="E30" s="45">
        <f t="shared" si="2"/>
        <v>21876</v>
      </c>
      <c r="F30" s="45">
        <f t="shared" si="2"/>
        <v>17084</v>
      </c>
      <c r="G30" s="45">
        <f t="shared" si="2"/>
        <v>103795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92</v>
      </c>
      <c r="D1" s="48" t="s">
        <v>93</v>
      </c>
      <c r="E1" s="48" t="s">
        <v>94</v>
      </c>
      <c r="F1" s="48" t="s">
        <v>95</v>
      </c>
      <c r="G1" s="3"/>
      <c r="I1" s="3"/>
    </row>
    <row r="2">
      <c r="A2" s="4" t="s">
        <v>4</v>
      </c>
      <c r="B2" s="5">
        <v>46174.0</v>
      </c>
      <c r="C2" s="6">
        <v>6528.0</v>
      </c>
      <c r="D2" s="6">
        <v>8964.0</v>
      </c>
      <c r="E2" s="6">
        <v>10092.0</v>
      </c>
      <c r="F2" s="6">
        <v>13650.0</v>
      </c>
      <c r="G2" s="7">
        <f t="shared" ref="G2:G29" si="1">SUM(C2+D2+E2+F2)</f>
        <v>39234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8896.0</v>
      </c>
      <c r="D3" s="6">
        <v>10165.0</v>
      </c>
      <c r="E3" s="6">
        <v>9880.0</v>
      </c>
      <c r="F3" s="6">
        <v>13324.0</v>
      </c>
      <c r="G3" s="7">
        <f t="shared" si="1"/>
        <v>42265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4886.0</v>
      </c>
      <c r="D4" s="6">
        <v>10558.0</v>
      </c>
      <c r="E4" s="6">
        <v>6771.0</v>
      </c>
      <c r="F4" s="49">
        <v>14567.0</v>
      </c>
      <c r="G4" s="7">
        <f t="shared" si="1"/>
        <v>36782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4767.0</v>
      </c>
      <c r="D5" s="6">
        <v>10057.0</v>
      </c>
      <c r="E5" s="6">
        <v>12827.0</v>
      </c>
      <c r="F5" s="49">
        <v>14539.0</v>
      </c>
      <c r="G5" s="7">
        <f t="shared" si="1"/>
        <v>42190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10899.0</v>
      </c>
      <c r="D6" s="6">
        <v>10145.0</v>
      </c>
      <c r="E6" s="6">
        <v>10978.0</v>
      </c>
      <c r="F6" s="49">
        <v>12187.0</v>
      </c>
      <c r="G6" s="7">
        <f t="shared" si="1"/>
        <v>44209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204680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35976</v>
      </c>
      <c r="D30" s="45">
        <f t="shared" si="2"/>
        <v>49889</v>
      </c>
      <c r="E30" s="45">
        <f t="shared" si="2"/>
        <v>50548</v>
      </c>
      <c r="F30" s="45">
        <f t="shared" si="2"/>
        <v>68267</v>
      </c>
      <c r="G30" s="45">
        <f t="shared" si="2"/>
        <v>204680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96</v>
      </c>
      <c r="D1" s="48" t="s">
        <v>97</v>
      </c>
      <c r="E1" s="48" t="s">
        <v>98</v>
      </c>
      <c r="F1" s="48" t="s">
        <v>99</v>
      </c>
      <c r="G1" s="3"/>
      <c r="I1" s="3"/>
    </row>
    <row r="2">
      <c r="A2" s="4" t="s">
        <v>4</v>
      </c>
      <c r="B2" s="5">
        <v>46174.0</v>
      </c>
      <c r="C2" s="6">
        <v>10150.0</v>
      </c>
      <c r="D2" s="6">
        <v>16364.0</v>
      </c>
      <c r="E2" s="6">
        <v>10184.0</v>
      </c>
      <c r="F2" s="6">
        <v>17465.0</v>
      </c>
      <c r="G2" s="7">
        <f t="shared" ref="G2:G29" si="1">SUM(C2+D2+E2+F2)</f>
        <v>54163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6424.0</v>
      </c>
      <c r="D3" s="6">
        <v>16274.0</v>
      </c>
      <c r="E3" s="6">
        <v>10233.0</v>
      </c>
      <c r="F3" s="6">
        <v>14044.0</v>
      </c>
      <c r="G3" s="7">
        <f t="shared" si="1"/>
        <v>46975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10217.0</v>
      </c>
      <c r="D4" s="6">
        <v>13423.0</v>
      </c>
      <c r="E4" s="6">
        <v>9278.0</v>
      </c>
      <c r="F4" s="49">
        <v>11454.0</v>
      </c>
      <c r="G4" s="7">
        <f t="shared" si="1"/>
        <v>44372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10020.0</v>
      </c>
      <c r="D5" s="6">
        <v>17728.0</v>
      </c>
      <c r="E5" s="6">
        <v>9000.0</v>
      </c>
      <c r="F5" s="49">
        <v>12126.0</v>
      </c>
      <c r="G5" s="7">
        <f t="shared" si="1"/>
        <v>48874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7653.0</v>
      </c>
      <c r="D6" s="6">
        <v>7707.0</v>
      </c>
      <c r="E6" s="6">
        <v>9583.0</v>
      </c>
      <c r="F6" s="49">
        <v>17117.0</v>
      </c>
      <c r="G6" s="7">
        <f t="shared" si="1"/>
        <v>42060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236444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44464</v>
      </c>
      <c r="D30" s="45">
        <f t="shared" si="2"/>
        <v>71496</v>
      </c>
      <c r="E30" s="45">
        <f t="shared" si="2"/>
        <v>48278</v>
      </c>
      <c r="F30" s="45">
        <f t="shared" si="2"/>
        <v>72206</v>
      </c>
      <c r="G30" s="45">
        <f t="shared" si="2"/>
        <v>236444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100</v>
      </c>
      <c r="D1" s="48" t="s">
        <v>101</v>
      </c>
      <c r="E1" s="48" t="s">
        <v>102</v>
      </c>
      <c r="F1" s="48" t="s">
        <v>103</v>
      </c>
      <c r="G1" s="3"/>
      <c r="I1" s="3"/>
    </row>
    <row r="2">
      <c r="A2" s="4" t="s">
        <v>4</v>
      </c>
      <c r="B2" s="5">
        <v>46174.0</v>
      </c>
      <c r="C2" s="6">
        <v>11615.0</v>
      </c>
      <c r="D2" s="6">
        <v>7162.0</v>
      </c>
      <c r="E2" s="6">
        <v>12482.0</v>
      </c>
      <c r="F2" s="6">
        <v>15074.0</v>
      </c>
      <c r="G2" s="7">
        <f t="shared" ref="G2:G29" si="1">SUM(C2+D2+E2+F2)</f>
        <v>46333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11678.0</v>
      </c>
      <c r="D3" s="6">
        <v>8461.0</v>
      </c>
      <c r="E3" s="6">
        <v>14246.0</v>
      </c>
      <c r="F3" s="6">
        <v>13782.0</v>
      </c>
      <c r="G3" s="7">
        <f t="shared" si="1"/>
        <v>48167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10826.0</v>
      </c>
      <c r="D4" s="6">
        <v>20003.0</v>
      </c>
      <c r="E4" s="6">
        <v>14118.0</v>
      </c>
      <c r="F4" s="49">
        <v>16441.0</v>
      </c>
      <c r="G4" s="7">
        <f t="shared" si="1"/>
        <v>61388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9732.0</v>
      </c>
      <c r="D5" s="6">
        <v>10116.0</v>
      </c>
      <c r="E5" s="6">
        <v>11037.0</v>
      </c>
      <c r="F5" s="49">
        <v>20760.0</v>
      </c>
      <c r="G5" s="7">
        <f t="shared" si="1"/>
        <v>51645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13960.0</v>
      </c>
      <c r="D6" s="6">
        <v>10003.0</v>
      </c>
      <c r="E6" s="6">
        <v>14319.0</v>
      </c>
      <c r="F6" s="49">
        <v>12441.0</v>
      </c>
      <c r="G6" s="7">
        <f t="shared" si="1"/>
        <v>50723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258256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57811</v>
      </c>
      <c r="D30" s="45">
        <f t="shared" si="2"/>
        <v>55745</v>
      </c>
      <c r="E30" s="45">
        <f t="shared" si="2"/>
        <v>66202</v>
      </c>
      <c r="F30" s="45">
        <f t="shared" si="2"/>
        <v>78498</v>
      </c>
      <c r="G30" s="45">
        <f t="shared" si="2"/>
        <v>258256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104</v>
      </c>
      <c r="D1" s="48" t="s">
        <v>105</v>
      </c>
      <c r="E1" s="48" t="s">
        <v>106</v>
      </c>
      <c r="F1" s="48" t="s">
        <v>107</v>
      </c>
      <c r="G1" s="3"/>
      <c r="I1" s="3"/>
    </row>
    <row r="2">
      <c r="A2" s="4" t="s">
        <v>4</v>
      </c>
      <c r="B2" s="5">
        <v>46174.0</v>
      </c>
      <c r="C2" s="6">
        <v>7088.0</v>
      </c>
      <c r="D2" s="6">
        <v>11545.0</v>
      </c>
      <c r="E2" s="6">
        <v>10295.0</v>
      </c>
      <c r="F2" s="6">
        <v>18912.0</v>
      </c>
      <c r="G2" s="7">
        <f t="shared" ref="G2:G29" si="1">SUM(C2+D2+E2+F2)</f>
        <v>47840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5200.0</v>
      </c>
      <c r="D3" s="6">
        <v>15514.0</v>
      </c>
      <c r="E3" s="6">
        <v>11131.0</v>
      </c>
      <c r="F3" s="6">
        <v>17096.0</v>
      </c>
      <c r="G3" s="7">
        <f t="shared" si="1"/>
        <v>48941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4048.0</v>
      </c>
      <c r="D4" s="6">
        <v>12533.0</v>
      </c>
      <c r="E4" s="6">
        <v>12218.0</v>
      </c>
      <c r="F4" s="49">
        <v>12089.0</v>
      </c>
      <c r="G4" s="7">
        <f t="shared" si="1"/>
        <v>40888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4810.0</v>
      </c>
      <c r="D5" s="6">
        <v>9909.0</v>
      </c>
      <c r="E5" s="6">
        <v>12203.0</v>
      </c>
      <c r="F5" s="49">
        <v>20045.0</v>
      </c>
      <c r="G5" s="7">
        <f t="shared" si="1"/>
        <v>46967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6920.0</v>
      </c>
      <c r="D6" s="6">
        <v>9473.0</v>
      </c>
      <c r="E6" s="6">
        <v>12622.0</v>
      </c>
      <c r="F6" s="49">
        <v>12703.0</v>
      </c>
      <c r="G6" s="7">
        <f t="shared" si="1"/>
        <v>41718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4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226354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28066</v>
      </c>
      <c r="D30" s="45">
        <f t="shared" si="2"/>
        <v>58974</v>
      </c>
      <c r="E30" s="45">
        <f t="shared" si="2"/>
        <v>58469</v>
      </c>
      <c r="F30" s="45">
        <f t="shared" si="2"/>
        <v>80845</v>
      </c>
      <c r="G30" s="45">
        <f t="shared" si="2"/>
        <v>226354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108</v>
      </c>
      <c r="D1" s="48" t="s">
        <v>109</v>
      </c>
      <c r="E1" s="48" t="s">
        <v>110</v>
      </c>
      <c r="F1" s="48" t="s">
        <v>111</v>
      </c>
      <c r="G1" s="3"/>
      <c r="I1" s="3"/>
    </row>
    <row r="2">
      <c r="A2" s="4" t="s">
        <v>4</v>
      </c>
      <c r="B2" s="5">
        <v>46174.0</v>
      </c>
      <c r="C2" s="6">
        <v>11681.0</v>
      </c>
      <c r="D2" s="6">
        <v>7312.0</v>
      </c>
      <c r="E2" s="6">
        <v>13158.0</v>
      </c>
      <c r="F2" s="6">
        <v>16117.0</v>
      </c>
      <c r="G2" s="7">
        <f t="shared" ref="G2:G29" si="1">SUM(C2+D2+E2+F2)</f>
        <v>48268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12168.0</v>
      </c>
      <c r="D3" s="6">
        <v>10476.0</v>
      </c>
      <c r="E3" s="6">
        <v>12060.0</v>
      </c>
      <c r="F3" s="6">
        <v>15708.0</v>
      </c>
      <c r="G3" s="7">
        <f t="shared" si="1"/>
        <v>50412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7019.0</v>
      </c>
      <c r="D4" s="6">
        <v>8401.0</v>
      </c>
      <c r="E4" s="6">
        <v>19111.0</v>
      </c>
      <c r="F4" s="49">
        <v>14491.0</v>
      </c>
      <c r="G4" s="7">
        <f t="shared" si="1"/>
        <v>49022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9579.0</v>
      </c>
      <c r="D5" s="6">
        <v>13518.0</v>
      </c>
      <c r="E5" s="6">
        <v>13236.0</v>
      </c>
      <c r="F5" s="49">
        <v>10762.0</v>
      </c>
      <c r="G5" s="7">
        <f t="shared" si="1"/>
        <v>47095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9265.0</v>
      </c>
      <c r="D6" s="6"/>
      <c r="E6" s="6">
        <v>9210.0</v>
      </c>
      <c r="F6" s="49">
        <v>13719.0</v>
      </c>
      <c r="G6" s="7">
        <f t="shared" si="1"/>
        <v>32194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226991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49712</v>
      </c>
      <c r="D30" s="45">
        <f t="shared" si="2"/>
        <v>39707</v>
      </c>
      <c r="E30" s="45">
        <f t="shared" si="2"/>
        <v>66775</v>
      </c>
      <c r="F30" s="45">
        <f t="shared" si="2"/>
        <v>70797</v>
      </c>
      <c r="G30" s="45">
        <f t="shared" si="2"/>
        <v>226991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112</v>
      </c>
      <c r="D1" s="48" t="s">
        <v>113</v>
      </c>
      <c r="E1" s="48" t="s">
        <v>114</v>
      </c>
      <c r="F1" s="48" t="s">
        <v>115</v>
      </c>
      <c r="G1" s="3"/>
      <c r="I1" s="3"/>
    </row>
    <row r="2">
      <c r="A2" s="4" t="s">
        <v>4</v>
      </c>
      <c r="B2" s="5">
        <v>46174.0</v>
      </c>
      <c r="C2" s="6">
        <v>14347.0</v>
      </c>
      <c r="D2" s="6">
        <v>14297.0</v>
      </c>
      <c r="E2" s="6"/>
      <c r="F2" s="6">
        <v>9195.0</v>
      </c>
      <c r="G2" s="7">
        <f t="shared" ref="G2:G29" si="1">SUM(C2+D2+E2+F2)</f>
        <v>37839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13687.0</v>
      </c>
      <c r="D3" s="6">
        <v>12993.0</v>
      </c>
      <c r="E3" s="6">
        <v>1686.0</v>
      </c>
      <c r="F3" s="6">
        <v>13273.0</v>
      </c>
      <c r="G3" s="7">
        <f t="shared" si="1"/>
        <v>41639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4262.0</v>
      </c>
      <c r="D4" s="6">
        <v>15030.0</v>
      </c>
      <c r="E4" s="6">
        <v>10710.0</v>
      </c>
      <c r="F4" s="6">
        <v>13272.0</v>
      </c>
      <c r="G4" s="7">
        <f t="shared" si="1"/>
        <v>43274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10781.0</v>
      </c>
      <c r="D5" s="6">
        <v>18749.0</v>
      </c>
      <c r="E5" s="6">
        <v>13282.0</v>
      </c>
      <c r="F5" s="6">
        <v>15242.0</v>
      </c>
      <c r="G5" s="7">
        <f t="shared" si="1"/>
        <v>58054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180806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43077</v>
      </c>
      <c r="D30" s="45">
        <f t="shared" si="2"/>
        <v>61069</v>
      </c>
      <c r="E30" s="45">
        <f t="shared" si="2"/>
        <v>25678</v>
      </c>
      <c r="F30" s="45">
        <f t="shared" si="2"/>
        <v>50982</v>
      </c>
      <c r="G30" s="45">
        <f t="shared" si="2"/>
        <v>180806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2026-03-30T18:35:49Z</dcterms:created>
  <dc:creator>Jennifer Laber</dc:creator>
</cp:coreProperties>
</file>