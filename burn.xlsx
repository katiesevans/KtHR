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" sheetId="1" r:id="rId4"/>
    <sheet state="visible" name="TRAINERS" sheetId="2" r:id="rId5"/>
    <sheet state="visible" name="Storm Steppers🌀" sheetId="3" r:id="rId6"/>
    <sheet state="visible" name="Burnin Soles" sheetId="4" r:id="rId7"/>
    <sheet state="visible" name="STRUT SQUAD⚡️🤍" sheetId="5" r:id="rId8"/>
    <sheet state="visible" name="Resting Step Face" sheetId="6" r:id="rId9"/>
    <sheet state="visible" name="Walk Around and Find Out" sheetId="7" r:id="rId10"/>
    <sheet state="visible" name="Burning up the Miles" sheetId="8" r:id="rId11"/>
    <sheet state="visible" name="Sole Sisters + 1 Mister 💅⚡️" sheetId="9" r:id="rId12"/>
    <sheet state="visible" name="Blister Sisters" sheetId="10" r:id="rId13"/>
    <sheet state="visible" name="Hot Chili Steppers🌶️" sheetId="11" r:id="rId14"/>
    <sheet state="visible" name="Lemon Peppa Steppas" sheetId="12" r:id="rId15"/>
    <sheet state="visible" name="Too Legit to Sit 🔥🔥" sheetId="13" r:id="rId16"/>
    <sheet state="visible" name="Sole Train" sheetId="14" r:id="rId17"/>
    <sheet state="visible" name="Running Late Counts" sheetId="15" r:id="rId18"/>
    <sheet state="visible" name="Sole Mates" sheetId="16" r:id="rId19"/>
    <sheet state="visible" name="Stride or Die" sheetId="17" r:id="rId20"/>
    <sheet state="visible" name="Victory Lap 🏅" sheetId="18" r:id="rId21"/>
    <sheet state="visible" name="Holy Walkamolies" sheetId="19" r:id="rId22"/>
    <sheet state="visible" name="Goal Diggers " sheetId="20" r:id="rId23"/>
    <sheet state="visible" name="ABCD Step Sisters" sheetId="21" r:id="rId24"/>
    <sheet state="visible" name="Sole Sisters 🔥👟" sheetId="22" r:id="rId25"/>
    <sheet state="visible" name="Run like The Winded" sheetId="23" r:id="rId26"/>
    <sheet state="visible" name="Last but Fast" sheetId="24" r:id="rId27"/>
  </sheets>
  <definedNames/>
  <calcPr/>
  <extLst>
    <ext uri="GoogleSheetsCustomDataVersion2">
      <go:sheetsCustomData xmlns:go="http://customooxmlschemas.google.com/" r:id="rId28" roundtripDataChecksum="V8TNPqFlsXEFTn6C7GpJDM3+UIRgIvrU1FEaiy6pc2w="/>
    </ext>
  </extLst>
</workbook>
</file>

<file path=xl/sharedStrings.xml><?xml version="1.0" encoding="utf-8"?>
<sst xmlns="http://schemas.openxmlformats.org/spreadsheetml/2006/main" count="409" uniqueCount="116">
  <si>
    <t>Person A</t>
  </si>
  <si>
    <t>Person B</t>
  </si>
  <si>
    <t>Person C</t>
  </si>
  <si>
    <t>Person D</t>
  </si>
  <si>
    <t>Week 1</t>
  </si>
  <si>
    <t>Week Total</t>
  </si>
  <si>
    <t>Week 2</t>
  </si>
  <si>
    <t>Week 3</t>
  </si>
  <si>
    <t xml:space="preserve"> Week 4</t>
  </si>
  <si>
    <t>Person A Total</t>
  </si>
  <si>
    <t>Person B Total</t>
  </si>
  <si>
    <t xml:space="preserve">Person C Total </t>
  </si>
  <si>
    <t>Person D Total</t>
  </si>
  <si>
    <t>Team Total</t>
  </si>
  <si>
    <t>Jenna</t>
  </si>
  <si>
    <t>Maggie</t>
  </si>
  <si>
    <t>Natalie</t>
  </si>
  <si>
    <t>AJ</t>
  </si>
  <si>
    <t>Week 4</t>
  </si>
  <si>
    <t>Jenna Total</t>
  </si>
  <si>
    <t>Maggie Total</t>
  </si>
  <si>
    <t xml:space="preserve">Natalie Total </t>
  </si>
  <si>
    <t>AJ Total</t>
  </si>
  <si>
    <t>Kaylah C</t>
  </si>
  <si>
    <t>Jamillah S</t>
  </si>
  <si>
    <t>Kayla P</t>
  </si>
  <si>
    <t>Sarah C.</t>
  </si>
  <si>
    <t>Erica B</t>
  </si>
  <si>
    <t>Emily F</t>
  </si>
  <si>
    <t>Ana R</t>
  </si>
  <si>
    <t xml:space="preserve">Jasmin H </t>
  </si>
  <si>
    <t>Bre C</t>
  </si>
  <si>
    <t>Jen Harpe</t>
  </si>
  <si>
    <t>Marie C</t>
  </si>
  <si>
    <t>Annie L</t>
  </si>
  <si>
    <t>Bre C Total</t>
  </si>
  <si>
    <t>Jen H Total</t>
  </si>
  <si>
    <t xml:space="preserve">Marie C Total </t>
  </si>
  <si>
    <t>Annie L Total</t>
  </si>
  <si>
    <t>Rachel T</t>
  </si>
  <si>
    <t>Jatun B</t>
  </si>
  <si>
    <t>Regan B</t>
  </si>
  <si>
    <t>Zawadi W</t>
  </si>
  <si>
    <t>Emily N</t>
  </si>
  <si>
    <t>Leslie Y</t>
  </si>
  <si>
    <t>Kaylee H</t>
  </si>
  <si>
    <t>Olivia V</t>
  </si>
  <si>
    <t>Theresa I</t>
  </si>
  <si>
    <t>Kelsey R</t>
  </si>
  <si>
    <t>Robin R</t>
  </si>
  <si>
    <t>Steph G</t>
  </si>
  <si>
    <t>Court J./Terra H.</t>
  </si>
  <si>
    <t>Avery W</t>
  </si>
  <si>
    <t>Stephanie A.R</t>
  </si>
  <si>
    <t>Monishia E</t>
  </si>
  <si>
    <t>Katherine S</t>
  </si>
  <si>
    <t>Asia C</t>
  </si>
  <si>
    <t>Sam M.</t>
  </si>
  <si>
    <t>Rachel G</t>
  </si>
  <si>
    <t>Emily S</t>
  </si>
  <si>
    <t>Jess R</t>
  </si>
  <si>
    <t>Rachael B</t>
  </si>
  <si>
    <t xml:space="preserve">Amelia G. </t>
  </si>
  <si>
    <t>Sydnee W</t>
  </si>
  <si>
    <t>Amber C.</t>
  </si>
  <si>
    <t>Jessica F.</t>
  </si>
  <si>
    <t>Danielle O</t>
  </si>
  <si>
    <t>,</t>
  </si>
  <si>
    <t>Katie E.</t>
  </si>
  <si>
    <t>Lauren H.</t>
  </si>
  <si>
    <t>Haejin</t>
  </si>
  <si>
    <t xml:space="preserve">Kathy P. </t>
  </si>
  <si>
    <t>Taylor G</t>
  </si>
  <si>
    <t>Margaret S.</t>
  </si>
  <si>
    <t>Jessica P.</t>
  </si>
  <si>
    <t>Nikki K</t>
  </si>
  <si>
    <t>Amber A</t>
  </si>
  <si>
    <t>Sarah S</t>
  </si>
  <si>
    <t>Stephanie L.</t>
  </si>
  <si>
    <t>Candace R</t>
  </si>
  <si>
    <t>Aundrea E.</t>
  </si>
  <si>
    <t>Brandee M.</t>
  </si>
  <si>
    <t>Mary Beth G.</t>
  </si>
  <si>
    <t>Sarat D</t>
  </si>
  <si>
    <t xml:space="preserve">Tayler W. </t>
  </si>
  <si>
    <t xml:space="preserve">Cindy A. </t>
  </si>
  <si>
    <t>Susan O.</t>
  </si>
  <si>
    <t>Steven C.</t>
  </si>
  <si>
    <t>Brandi M.E.</t>
  </si>
  <si>
    <t>Jaye C.</t>
  </si>
  <si>
    <t xml:space="preserve">Sarah Anne C. </t>
  </si>
  <si>
    <t>Nicole J</t>
  </si>
  <si>
    <t>Lindsay M</t>
  </si>
  <si>
    <t>Tosha F.</t>
  </si>
  <si>
    <t>Eboni F.</t>
  </si>
  <si>
    <t xml:space="preserve">Val D. </t>
  </si>
  <si>
    <t>Mitzi P.</t>
  </si>
  <si>
    <t xml:space="preserve">QuiAnne' H. </t>
  </si>
  <si>
    <t>Kelly P.</t>
  </si>
  <si>
    <t>Karen R.</t>
  </si>
  <si>
    <t>Candice H.</t>
  </si>
  <si>
    <t>Dormekya B.</t>
  </si>
  <si>
    <t>Alison S.</t>
  </si>
  <si>
    <t>Barb K.</t>
  </si>
  <si>
    <t>Jess H.</t>
  </si>
  <si>
    <t>Tiera S.</t>
  </si>
  <si>
    <t>Barb R.</t>
  </si>
  <si>
    <t xml:space="preserve">Justine W. </t>
  </si>
  <si>
    <t>Alli B.</t>
  </si>
  <si>
    <t>Prema N.</t>
  </si>
  <si>
    <t>Dwayne B.</t>
  </si>
  <si>
    <t>Kortney H.</t>
  </si>
  <si>
    <t>Rachel M</t>
  </si>
  <si>
    <t>Ashley B</t>
  </si>
  <si>
    <t>Whitney M</t>
  </si>
  <si>
    <t>Donna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</si>
</sst>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b/>
      <i/>
      <sz val="11.0"/>
      <color theme="1"/>
      <name val="Arial"/>
    </font>
    <font>
      <sz val="11.0"/>
      <color theme="1"/>
      <name val="Arial"/>
    </font>
    <font>
      <sz val="11.0"/>
      <color theme="1"/>
      <name val="Aptos Narrow"/>
    </font>
    <font/>
    <font>
      <b/>
      <sz val="11.0"/>
      <color theme="1"/>
      <name val="Arial"/>
    </font>
    <font>
      <b/>
      <i/>
      <sz val="11.0"/>
      <color theme="1"/>
      <name val="Aptos Narrow"/>
    </font>
    <font>
      <color theme="1"/>
      <name val="Arial"/>
    </font>
    <font>
      <b/>
      <color theme="1"/>
      <name val="Aptos Narrow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2" numFmtId="3" xfId="0" applyFont="1" applyNumberFormat="1"/>
    <xf borderId="1" fillId="3" fontId="3" numFmtId="0" xfId="0" applyAlignment="1" applyBorder="1" applyFill="1" applyFont="1">
      <alignment horizontal="center" readingOrder="0" textRotation="90" vertical="center"/>
    </xf>
    <xf borderId="2" fillId="3" fontId="4" numFmtId="14" xfId="0" applyAlignment="1" applyBorder="1" applyFont="1" applyNumberFormat="1">
      <alignment horizontal="center" readingOrder="0"/>
    </xf>
    <xf borderId="2" fillId="3" fontId="4" numFmtId="3" xfId="0" applyAlignment="1" applyBorder="1" applyFont="1" applyNumberFormat="1">
      <alignment readingOrder="0"/>
    </xf>
    <xf borderId="2" fillId="3" fontId="1" numFmtId="3" xfId="0" applyBorder="1" applyFont="1" applyNumberFormat="1"/>
    <xf borderId="2" fillId="3" fontId="5" numFmtId="0" xfId="0" applyBorder="1" applyFont="1"/>
    <xf borderId="2" fillId="3" fontId="5" numFmtId="3" xfId="0" applyBorder="1" applyFont="1" applyNumberFormat="1"/>
    <xf borderId="3" fillId="0" fontId="6" numFmtId="0" xfId="0" applyBorder="1" applyFont="1"/>
    <xf borderId="2" fillId="3" fontId="4" numFmtId="0" xfId="0" applyAlignment="1" applyBorder="1" applyFont="1">
      <alignment readingOrder="0"/>
    </xf>
    <xf borderId="2" fillId="3" fontId="7" numFmtId="3" xfId="0" applyAlignment="1" applyBorder="1" applyFont="1" applyNumberFormat="1">
      <alignment readingOrder="0"/>
    </xf>
    <xf borderId="1" fillId="4" fontId="8" numFmtId="0" xfId="0" applyAlignment="1" applyBorder="1" applyFill="1" applyFont="1">
      <alignment horizontal="center" textRotation="90" vertical="center"/>
    </xf>
    <xf borderId="2" fillId="4" fontId="4" numFmtId="14" xfId="0" applyAlignment="1" applyBorder="1" applyFont="1" applyNumberFormat="1">
      <alignment horizontal="center" readingOrder="0"/>
    </xf>
    <xf borderId="2" fillId="4" fontId="5" numFmtId="3" xfId="0" applyBorder="1" applyFont="1" applyNumberFormat="1"/>
    <xf borderId="2" fillId="4" fontId="4" numFmtId="3" xfId="0" applyAlignment="1" applyBorder="1" applyFont="1" applyNumberFormat="1">
      <alignment readingOrder="0"/>
    </xf>
    <xf borderId="2" fillId="4" fontId="1" numFmtId="3" xfId="0" applyBorder="1" applyFont="1" applyNumberFormat="1"/>
    <xf borderId="2" fillId="4" fontId="5" numFmtId="0" xfId="0" applyBorder="1" applyFont="1"/>
    <xf borderId="2" fillId="4" fontId="9" numFmtId="3" xfId="0" applyAlignment="1" applyBorder="1" applyFont="1" applyNumberFormat="1">
      <alignment readingOrder="0"/>
    </xf>
    <xf borderId="2" fillId="4" fontId="2" numFmtId="3" xfId="0" applyBorder="1" applyFont="1" applyNumberFormat="1"/>
    <xf borderId="2" fillId="4" fontId="2" numFmtId="0" xfId="0" applyBorder="1" applyFont="1"/>
    <xf borderId="2" fillId="4" fontId="9" numFmtId="0" xfId="0" applyAlignment="1" applyBorder="1" applyFont="1">
      <alignment readingOrder="0"/>
    </xf>
    <xf borderId="2" fillId="4" fontId="10" numFmtId="3" xfId="0" applyBorder="1" applyFont="1" applyNumberFormat="1"/>
    <xf borderId="1" fillId="5" fontId="8" numFmtId="0" xfId="0" applyAlignment="1" applyBorder="1" applyFill="1" applyFont="1">
      <alignment horizontal="center" textRotation="90" vertical="center"/>
    </xf>
    <xf borderId="2" fillId="5" fontId="4" numFmtId="14" xfId="0" applyAlignment="1" applyBorder="1" applyFont="1" applyNumberFormat="1">
      <alignment horizontal="center" readingOrder="0"/>
    </xf>
    <xf borderId="2" fillId="5" fontId="2" numFmtId="3" xfId="0" applyBorder="1" applyFont="1" applyNumberFormat="1"/>
    <xf borderId="2" fillId="5" fontId="1" numFmtId="3" xfId="0" applyBorder="1" applyFont="1" applyNumberFormat="1"/>
    <xf borderId="2" fillId="5" fontId="5" numFmtId="0" xfId="0" applyBorder="1" applyFont="1"/>
    <xf borderId="2" fillId="5" fontId="2" numFmtId="0" xfId="0" applyBorder="1" applyFont="1"/>
    <xf borderId="2" fillId="5" fontId="5" numFmtId="3" xfId="0" applyBorder="1" applyFont="1" applyNumberFormat="1"/>
    <xf borderId="2" fillId="5" fontId="4" numFmtId="3" xfId="0" applyAlignment="1" applyBorder="1" applyFont="1" applyNumberFormat="1">
      <alignment readingOrder="0"/>
    </xf>
    <xf borderId="2" fillId="5" fontId="4" numFmtId="0" xfId="0" applyAlignment="1" applyBorder="1" applyFont="1">
      <alignment readingOrder="0"/>
    </xf>
    <xf borderId="1" fillId="6" fontId="3" numFmtId="0" xfId="0" applyAlignment="1" applyBorder="1" applyFill="1" applyFont="1">
      <alignment horizontal="center" readingOrder="0" textRotation="90" vertical="center"/>
    </xf>
    <xf borderId="2" fillId="6" fontId="4" numFmtId="14" xfId="0" applyAlignment="1" applyBorder="1" applyFont="1" applyNumberFormat="1">
      <alignment horizontal="center" readingOrder="0"/>
    </xf>
    <xf borderId="2" fillId="6" fontId="5" numFmtId="3" xfId="0" applyBorder="1" applyFont="1" applyNumberFormat="1"/>
    <xf borderId="2" fillId="6" fontId="4" numFmtId="3" xfId="0" applyAlignment="1" applyBorder="1" applyFont="1" applyNumberFormat="1">
      <alignment readingOrder="0"/>
    </xf>
    <xf borderId="2" fillId="6" fontId="7" numFmtId="3" xfId="0" applyAlignment="1" applyBorder="1" applyFont="1" applyNumberFormat="1">
      <alignment readingOrder="0"/>
    </xf>
    <xf borderId="2" fillId="6" fontId="5" numFmtId="0" xfId="0" applyBorder="1" applyFont="1"/>
    <xf borderId="2" fillId="6" fontId="1" numFmtId="3" xfId="0" applyBorder="1" applyFont="1" applyNumberFormat="1"/>
    <xf borderId="2" fillId="6" fontId="2" numFmtId="3" xfId="0" applyBorder="1" applyFont="1" applyNumberFormat="1"/>
    <xf borderId="2" fillId="6" fontId="2" numFmtId="0" xfId="0" applyBorder="1" applyFont="1"/>
    <xf borderId="2" fillId="6" fontId="9" numFmtId="3" xfId="0" applyAlignment="1" applyBorder="1" applyFont="1" applyNumberFormat="1">
      <alignment readingOrder="0"/>
    </xf>
    <xf borderId="2" fillId="6" fontId="9" numFmtId="0" xfId="0" applyAlignment="1" applyBorder="1" applyFont="1">
      <alignment readingOrder="0"/>
    </xf>
    <xf borderId="2" fillId="6" fontId="10" numFmtId="3" xfId="0" applyBorder="1" applyFont="1" applyNumberFormat="1"/>
    <xf borderId="0" fillId="0" fontId="10" numFmtId="3" xfId="0" applyFont="1" applyNumberFormat="1"/>
    <xf borderId="0" fillId="0" fontId="9" numFmtId="3" xfId="0" applyAlignment="1" applyFont="1" applyNumberFormat="1">
      <alignment horizontal="center" readingOrder="0"/>
    </xf>
    <xf borderId="0" fillId="2" fontId="7" numFmtId="3" xfId="0" applyAlignment="1" applyFont="1" applyNumberFormat="1">
      <alignment horizontal="center" readingOrder="0"/>
    </xf>
    <xf borderId="0" fillId="0" fontId="7" numFmtId="3" xfId="0" applyAlignment="1" applyFont="1" applyNumberFormat="1">
      <alignment horizontal="center" readingOrder="0"/>
    </xf>
    <xf borderId="2" fillId="3" fontId="5" numFmtId="3" xfId="0" applyAlignment="1" applyBorder="1" applyFont="1" applyNumberFormat="1">
      <alignment readingOrder="0"/>
    </xf>
    <xf borderId="2" fillId="5" fontId="9" numFmtId="3" xfId="0" applyAlignment="1" applyBorder="1" applyFont="1" applyNumberFormat="1">
      <alignment readingOrder="0"/>
    </xf>
    <xf borderId="4" fillId="0" fontId="11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2" fillId="3" fontId="4" numFmtId="3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horizontal="center" readingOrder="0" vertical="bottom"/>
    </xf>
    <xf borderId="2" fillId="3" fontId="4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1" t="s">
        <v>0</v>
      </c>
      <c r="D1" s="2" t="s">
        <v>1</v>
      </c>
      <c r="E1" s="2" t="s">
        <v>2</v>
      </c>
      <c r="F1" s="2" t="s">
        <v>3</v>
      </c>
      <c r="G1" s="3"/>
      <c r="I1" s="3"/>
    </row>
    <row r="2">
      <c r="A2" s="4" t="s">
        <v>4</v>
      </c>
      <c r="B2" s="5">
        <v>46174.0</v>
      </c>
      <c r="C2" s="6"/>
      <c r="D2" s="6"/>
      <c r="E2" s="6"/>
      <c r="F2" s="6"/>
      <c r="G2" s="7">
        <f t="shared" ref="G2:G29" si="1">SUM(C2+D2+E2+F2)</f>
        <v>0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/>
      <c r="D3" s="6"/>
      <c r="E3" s="6"/>
      <c r="F3" s="6"/>
      <c r="G3" s="7">
        <f t="shared" si="1"/>
        <v>0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/>
      <c r="D4" s="6"/>
      <c r="E4" s="6"/>
      <c r="F4" s="9"/>
      <c r="G4" s="7">
        <f t="shared" si="1"/>
        <v>0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/>
      <c r="D5" s="6"/>
      <c r="E5" s="6"/>
      <c r="F5" s="9"/>
      <c r="G5" s="7">
        <f t="shared" si="1"/>
        <v>0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/>
      <c r="D6" s="6"/>
      <c r="E6" s="6"/>
      <c r="F6" s="9"/>
      <c r="G6" s="7">
        <f t="shared" si="1"/>
        <v>0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/>
      <c r="D7" s="6"/>
      <c r="E7" s="6"/>
      <c r="F7" s="9"/>
      <c r="G7" s="7">
        <f t="shared" si="1"/>
        <v>0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/>
      <c r="D8" s="6"/>
      <c r="E8" s="9"/>
      <c r="F8" s="9"/>
      <c r="G8" s="7">
        <f t="shared" si="1"/>
        <v>0</v>
      </c>
      <c r="H8" s="11" t="s">
        <v>5</v>
      </c>
      <c r="I8" s="12">
        <f>SUM(G2:G8)</f>
        <v>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0</v>
      </c>
      <c r="D30" s="45">
        <f t="shared" si="2"/>
        <v>0</v>
      </c>
      <c r="E30" s="45">
        <f t="shared" si="2"/>
        <v>0</v>
      </c>
      <c r="F30" s="45">
        <f t="shared" si="2"/>
        <v>0</v>
      </c>
      <c r="G30" s="45">
        <f t="shared" si="2"/>
        <v>0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14</v>
      </c>
      <c r="D1" s="48" t="s">
        <v>15</v>
      </c>
      <c r="E1" s="48" t="s">
        <v>16</v>
      </c>
      <c r="F1" s="48" t="s">
        <v>17</v>
      </c>
      <c r="G1" s="3"/>
      <c r="I1" s="3"/>
    </row>
    <row r="2">
      <c r="A2" s="4" t="s">
        <v>4</v>
      </c>
      <c r="B2" s="5">
        <v>46174.0</v>
      </c>
      <c r="C2" s="6">
        <v>18455.0</v>
      </c>
      <c r="D2" s="6">
        <v>11745.0</v>
      </c>
      <c r="E2" s="6">
        <v>9213.0</v>
      </c>
      <c r="F2" s="6">
        <v>6908.0</v>
      </c>
      <c r="G2" s="7">
        <f t="shared" ref="G2:G29" si="1">SUM(C2+D2+E2+F2)</f>
        <v>46321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20222.0</v>
      </c>
      <c r="D3" s="6">
        <v>15925.0</v>
      </c>
      <c r="E3" s="6">
        <v>8237.0</v>
      </c>
      <c r="F3" s="6">
        <v>7653.0</v>
      </c>
      <c r="G3" s="7">
        <f t="shared" si="1"/>
        <v>52037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16000.0</v>
      </c>
      <c r="D4" s="6">
        <v>15458.0</v>
      </c>
      <c r="E4" s="6">
        <v>5940.0</v>
      </c>
      <c r="F4" s="49">
        <v>6789.0</v>
      </c>
      <c r="G4" s="7">
        <f t="shared" si="1"/>
        <v>44187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6967.0</v>
      </c>
      <c r="D5" s="6">
        <v>15955.0</v>
      </c>
      <c r="E5" s="49">
        <v>10138.0</v>
      </c>
      <c r="F5" s="49">
        <v>8735.0</v>
      </c>
      <c r="G5" s="7">
        <f t="shared" si="1"/>
        <v>41795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18354.0</v>
      </c>
      <c r="D6" s="6">
        <v>11366.0</v>
      </c>
      <c r="E6" s="6">
        <v>11025.0</v>
      </c>
      <c r="F6" s="6">
        <v>7975.0</v>
      </c>
      <c r="G6" s="7">
        <f t="shared" si="1"/>
        <v>48720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13187.0</v>
      </c>
      <c r="D7" s="6"/>
      <c r="E7" s="6">
        <v>14331.0</v>
      </c>
      <c r="F7" s="6">
        <v>8846.0</v>
      </c>
      <c r="G7" s="7">
        <f t="shared" si="1"/>
        <v>36364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/>
      <c r="D8" s="6"/>
      <c r="E8" s="9"/>
      <c r="F8" s="9"/>
      <c r="G8" s="7">
        <f t="shared" si="1"/>
        <v>0</v>
      </c>
      <c r="H8" s="11" t="s">
        <v>5</v>
      </c>
      <c r="I8" s="12">
        <f>SUM(G2:G8)</f>
        <v>269424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50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18</v>
      </c>
      <c r="B23" s="34">
        <v>46195.0</v>
      </c>
      <c r="C23" s="35"/>
      <c r="D23" s="35"/>
      <c r="E23" s="35"/>
      <c r="F23" s="35"/>
      <c r="G23" s="39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93185</v>
      </c>
      <c r="D30" s="45">
        <f t="shared" si="2"/>
        <v>70449</v>
      </c>
      <c r="E30" s="45">
        <f t="shared" si="2"/>
        <v>58884</v>
      </c>
      <c r="F30" s="45">
        <f t="shared" si="2"/>
        <v>46906</v>
      </c>
      <c r="G30" s="45">
        <f t="shared" si="2"/>
        <v>269424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19</v>
      </c>
      <c r="D31" s="46" t="s">
        <v>20</v>
      </c>
      <c r="E31" s="46" t="s">
        <v>21</v>
      </c>
      <c r="F31" s="46" t="s">
        <v>22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  <row r="934">
      <c r="C934" s="3"/>
      <c r="D934" s="3"/>
      <c r="E934" s="3"/>
      <c r="F934" s="3"/>
      <c r="G934" s="3"/>
      <c r="I934" s="3"/>
    </row>
    <row r="935">
      <c r="C935" s="3"/>
      <c r="D935" s="3"/>
      <c r="E935" s="3"/>
      <c r="F935" s="3"/>
      <c r="G935" s="3"/>
      <c r="I935" s="3"/>
    </row>
    <row r="936">
      <c r="C936" s="3"/>
      <c r="D936" s="3"/>
      <c r="E936" s="3"/>
      <c r="F936" s="3"/>
      <c r="G936" s="3"/>
      <c r="I936" s="3"/>
    </row>
    <row r="937">
      <c r="C937" s="3"/>
      <c r="D937" s="3"/>
      <c r="E937" s="3"/>
      <c r="F937" s="3"/>
      <c r="G937" s="3"/>
      <c r="I937" s="3"/>
    </row>
    <row r="938">
      <c r="C938" s="3"/>
      <c r="D938" s="3"/>
      <c r="E938" s="3"/>
      <c r="F938" s="3"/>
      <c r="G938" s="3"/>
      <c r="I938" s="3"/>
    </row>
    <row r="939">
      <c r="C939" s="3"/>
      <c r="D939" s="3"/>
      <c r="E939" s="3"/>
      <c r="F939" s="3"/>
      <c r="G939" s="3"/>
      <c r="I939" s="3"/>
    </row>
    <row r="940">
      <c r="C940" s="3"/>
      <c r="D940" s="3"/>
      <c r="E940" s="3"/>
      <c r="F940" s="3"/>
      <c r="G940" s="3"/>
      <c r="I940" s="3"/>
    </row>
    <row r="941">
      <c r="C941" s="3"/>
      <c r="D941" s="3"/>
      <c r="E941" s="3"/>
      <c r="F941" s="3"/>
      <c r="G941" s="3"/>
      <c r="I941" s="3"/>
    </row>
    <row r="942">
      <c r="C942" s="3"/>
      <c r="D942" s="3"/>
      <c r="E942" s="3"/>
      <c r="F942" s="3"/>
      <c r="G942" s="3"/>
      <c r="I942" s="3"/>
    </row>
    <row r="943">
      <c r="C943" s="3"/>
      <c r="D943" s="3"/>
      <c r="E943" s="3"/>
      <c r="F943" s="3"/>
      <c r="G943" s="3"/>
      <c r="I943" s="3"/>
    </row>
    <row r="944">
      <c r="C944" s="3"/>
      <c r="D944" s="3"/>
      <c r="E944" s="3"/>
      <c r="F944" s="3"/>
      <c r="G944" s="3"/>
      <c r="I944" s="3"/>
    </row>
    <row r="945">
      <c r="C945" s="3"/>
      <c r="D945" s="3"/>
      <c r="E945" s="3"/>
      <c r="F945" s="3"/>
      <c r="G945" s="3"/>
      <c r="I945" s="3"/>
    </row>
    <row r="946">
      <c r="C946" s="3"/>
      <c r="D946" s="3"/>
      <c r="E946" s="3"/>
      <c r="F946" s="3"/>
      <c r="G946" s="3"/>
      <c r="I946" s="3"/>
    </row>
    <row r="947">
      <c r="C947" s="3"/>
      <c r="D947" s="3"/>
      <c r="E947" s="3"/>
      <c r="F947" s="3"/>
      <c r="G947" s="3"/>
      <c r="I947" s="3"/>
    </row>
    <row r="948">
      <c r="C948" s="3"/>
      <c r="D948" s="3"/>
      <c r="E948" s="3"/>
      <c r="F948" s="3"/>
      <c r="G948" s="3"/>
      <c r="I948" s="3"/>
    </row>
    <row r="949">
      <c r="C949" s="3"/>
      <c r="D949" s="3"/>
      <c r="E949" s="3"/>
      <c r="F949" s="3"/>
      <c r="G949" s="3"/>
      <c r="I949" s="3"/>
    </row>
    <row r="950">
      <c r="C950" s="3"/>
      <c r="D950" s="3"/>
      <c r="E950" s="3"/>
      <c r="F950" s="3"/>
      <c r="G950" s="3"/>
      <c r="I950" s="3"/>
    </row>
    <row r="951">
      <c r="C951" s="3"/>
      <c r="D951" s="3"/>
      <c r="E951" s="3"/>
      <c r="F951" s="3"/>
      <c r="G951" s="3"/>
      <c r="I951" s="3"/>
    </row>
    <row r="952">
      <c r="C952" s="3"/>
      <c r="D952" s="3"/>
      <c r="E952" s="3"/>
      <c r="F952" s="3"/>
      <c r="G952" s="3"/>
      <c r="I952" s="3"/>
    </row>
    <row r="953">
      <c r="C953" s="3"/>
      <c r="D953" s="3"/>
      <c r="E953" s="3"/>
      <c r="F953" s="3"/>
      <c r="G953" s="3"/>
      <c r="I953" s="3"/>
    </row>
    <row r="954">
      <c r="C954" s="3"/>
      <c r="D954" s="3"/>
      <c r="E954" s="3"/>
      <c r="F954" s="3"/>
      <c r="G954" s="3"/>
      <c r="I954" s="3"/>
    </row>
    <row r="955">
      <c r="C955" s="3"/>
      <c r="D955" s="3"/>
      <c r="E955" s="3"/>
      <c r="F955" s="3"/>
      <c r="G955" s="3"/>
      <c r="I955" s="3"/>
    </row>
    <row r="956">
      <c r="C956" s="3"/>
      <c r="D956" s="3"/>
      <c r="E956" s="3"/>
      <c r="F956" s="3"/>
      <c r="G956" s="3"/>
      <c r="I956" s="3"/>
    </row>
    <row r="957">
      <c r="C957" s="3"/>
      <c r="D957" s="3"/>
      <c r="E957" s="3"/>
      <c r="F957" s="3"/>
      <c r="G957" s="3"/>
      <c r="I957" s="3"/>
    </row>
    <row r="958">
      <c r="C958" s="3"/>
      <c r="D958" s="3"/>
      <c r="E958" s="3"/>
      <c r="F958" s="3"/>
      <c r="G958" s="3"/>
      <c r="I958" s="3"/>
    </row>
    <row r="959">
      <c r="C959" s="3"/>
      <c r="D959" s="3"/>
      <c r="E959" s="3"/>
      <c r="F959" s="3"/>
      <c r="G959" s="3"/>
      <c r="I959" s="3"/>
    </row>
    <row r="960">
      <c r="C960" s="3"/>
      <c r="D960" s="3"/>
      <c r="E960" s="3"/>
      <c r="F960" s="3"/>
      <c r="G960" s="3"/>
      <c r="I960" s="3"/>
    </row>
    <row r="961">
      <c r="C961" s="3"/>
      <c r="D961" s="3"/>
      <c r="E961" s="3"/>
      <c r="F961" s="3"/>
      <c r="G961" s="3"/>
      <c r="I961" s="3"/>
    </row>
    <row r="962">
      <c r="C962" s="3"/>
      <c r="D962" s="3"/>
      <c r="E962" s="3"/>
      <c r="F962" s="3"/>
      <c r="G962" s="3"/>
      <c r="I962" s="3"/>
    </row>
    <row r="963">
      <c r="C963" s="3"/>
      <c r="D963" s="3"/>
      <c r="E963" s="3"/>
      <c r="F963" s="3"/>
      <c r="G963" s="3"/>
      <c r="I963" s="3"/>
    </row>
    <row r="964">
      <c r="C964" s="3"/>
      <c r="D964" s="3"/>
      <c r="E964" s="3"/>
      <c r="F964" s="3"/>
      <c r="G964" s="3"/>
      <c r="I964" s="3"/>
    </row>
    <row r="965">
      <c r="C965" s="3"/>
      <c r="D965" s="3"/>
      <c r="E965" s="3"/>
      <c r="F965" s="3"/>
      <c r="G965" s="3"/>
      <c r="I965" s="3"/>
    </row>
    <row r="966">
      <c r="C966" s="3"/>
      <c r="D966" s="3"/>
      <c r="E966" s="3"/>
      <c r="F966" s="3"/>
      <c r="G966" s="3"/>
      <c r="I966" s="3"/>
    </row>
    <row r="967">
      <c r="C967" s="3"/>
      <c r="D967" s="3"/>
      <c r="E967" s="3"/>
      <c r="F967" s="3"/>
      <c r="G967" s="3"/>
      <c r="I967" s="3"/>
    </row>
    <row r="968">
      <c r="C968" s="3"/>
      <c r="D968" s="3"/>
      <c r="E968" s="3"/>
      <c r="F968" s="3"/>
      <c r="G968" s="3"/>
      <c r="I968" s="3"/>
    </row>
    <row r="969">
      <c r="C969" s="3"/>
      <c r="D969" s="3"/>
      <c r="E969" s="3"/>
      <c r="F969" s="3"/>
      <c r="G969" s="3"/>
      <c r="I969" s="3"/>
    </row>
    <row r="970">
      <c r="C970" s="3"/>
      <c r="D970" s="3"/>
      <c r="E970" s="3"/>
      <c r="F970" s="3"/>
      <c r="G970" s="3"/>
      <c r="I970" s="3"/>
    </row>
    <row r="971">
      <c r="C971" s="3"/>
      <c r="D971" s="3"/>
      <c r="E971" s="3"/>
      <c r="F971" s="3"/>
      <c r="G971" s="3"/>
      <c r="I971" s="3"/>
    </row>
    <row r="972">
      <c r="C972" s="3"/>
      <c r="D972" s="3"/>
      <c r="E972" s="3"/>
      <c r="F972" s="3"/>
      <c r="G972" s="3"/>
      <c r="I972" s="3"/>
    </row>
    <row r="973">
      <c r="C973" s="3"/>
      <c r="D973" s="3"/>
      <c r="E973" s="3"/>
      <c r="F973" s="3"/>
      <c r="G973" s="3"/>
      <c r="I973" s="3"/>
    </row>
    <row r="974">
      <c r="C974" s="3"/>
      <c r="D974" s="3"/>
      <c r="E974" s="3"/>
      <c r="F974" s="3"/>
      <c r="G974" s="3"/>
      <c r="I974" s="3"/>
    </row>
    <row r="975">
      <c r="C975" s="3"/>
      <c r="D975" s="3"/>
      <c r="E975" s="3"/>
      <c r="F975" s="3"/>
      <c r="G975" s="3"/>
      <c r="I975" s="3"/>
    </row>
    <row r="976">
      <c r="C976" s="3"/>
      <c r="D976" s="3"/>
      <c r="E976" s="3"/>
      <c r="F976" s="3"/>
      <c r="G976" s="3"/>
      <c r="I976" s="3"/>
    </row>
    <row r="977">
      <c r="C977" s="3"/>
      <c r="D977" s="3"/>
      <c r="E977" s="3"/>
      <c r="F977" s="3"/>
      <c r="G977" s="3"/>
      <c r="I977" s="3"/>
    </row>
    <row r="978">
      <c r="C978" s="3"/>
      <c r="D978" s="3"/>
      <c r="E978" s="3"/>
      <c r="F978" s="3"/>
      <c r="G978" s="3"/>
      <c r="I978" s="3"/>
    </row>
    <row r="979">
      <c r="C979" s="3"/>
      <c r="D979" s="3"/>
      <c r="E979" s="3"/>
      <c r="F979" s="3"/>
      <c r="G979" s="3"/>
      <c r="I979" s="3"/>
    </row>
    <row r="980">
      <c r="C980" s="3"/>
      <c r="D980" s="3"/>
      <c r="E980" s="3"/>
      <c r="F980" s="3"/>
      <c r="G980" s="3"/>
      <c r="I980" s="3"/>
    </row>
    <row r="981">
      <c r="C981" s="3"/>
      <c r="D981" s="3"/>
      <c r="E981" s="3"/>
      <c r="F981" s="3"/>
      <c r="G981" s="3"/>
      <c r="I981" s="3"/>
    </row>
    <row r="982">
      <c r="C982" s="3"/>
      <c r="D982" s="3"/>
      <c r="E982" s="3"/>
      <c r="F982" s="3"/>
      <c r="G982" s="3"/>
      <c r="I982" s="3"/>
    </row>
    <row r="983">
      <c r="C983" s="3"/>
      <c r="D983" s="3"/>
      <c r="E983" s="3"/>
      <c r="F983" s="3"/>
      <c r="G983" s="3"/>
      <c r="I983" s="3"/>
    </row>
    <row r="984">
      <c r="C984" s="3"/>
      <c r="D984" s="3"/>
      <c r="E984" s="3"/>
      <c r="F984" s="3"/>
      <c r="G984" s="3"/>
      <c r="I984" s="3"/>
    </row>
    <row r="985">
      <c r="C985" s="3"/>
      <c r="D985" s="3"/>
      <c r="E985" s="3"/>
      <c r="F985" s="3"/>
      <c r="G985" s="3"/>
      <c r="I985" s="3"/>
    </row>
    <row r="986">
      <c r="C986" s="3"/>
      <c r="D986" s="3"/>
      <c r="E986" s="3"/>
      <c r="F986" s="3"/>
      <c r="G986" s="3"/>
      <c r="I986" s="3"/>
    </row>
    <row r="987">
      <c r="C987" s="3"/>
      <c r="D987" s="3"/>
      <c r="E987" s="3"/>
      <c r="F987" s="3"/>
      <c r="G987" s="3"/>
      <c r="I987" s="3"/>
    </row>
    <row r="988">
      <c r="C988" s="3"/>
      <c r="D988" s="3"/>
      <c r="E988" s="3"/>
      <c r="F988" s="3"/>
      <c r="G988" s="3"/>
      <c r="I988" s="3"/>
    </row>
    <row r="989">
      <c r="C989" s="3"/>
      <c r="D989" s="3"/>
      <c r="E989" s="3"/>
      <c r="F989" s="3"/>
      <c r="G989" s="3"/>
      <c r="I989" s="3"/>
    </row>
    <row r="990">
      <c r="C990" s="3"/>
      <c r="D990" s="3"/>
      <c r="E990" s="3"/>
      <c r="F990" s="3"/>
      <c r="G990" s="3"/>
      <c r="I990" s="3"/>
    </row>
    <row r="991">
      <c r="C991" s="3"/>
      <c r="D991" s="3"/>
      <c r="E991" s="3"/>
      <c r="F991" s="3"/>
      <c r="G991" s="3"/>
      <c r="I991" s="3"/>
    </row>
    <row r="992">
      <c r="C992" s="3"/>
      <c r="D992" s="3"/>
      <c r="E992" s="3"/>
      <c r="F992" s="3"/>
      <c r="G992" s="3"/>
      <c r="I992" s="3"/>
    </row>
    <row r="993">
      <c r="C993" s="3"/>
      <c r="D993" s="3"/>
      <c r="E993" s="3"/>
      <c r="F993" s="3"/>
      <c r="G993" s="3"/>
      <c r="I993" s="3"/>
    </row>
    <row r="994">
      <c r="C994" s="3"/>
      <c r="D994" s="3"/>
      <c r="E994" s="3"/>
      <c r="F994" s="3"/>
      <c r="G994" s="3"/>
      <c r="I994" s="3"/>
    </row>
    <row r="995">
      <c r="C995" s="3"/>
      <c r="D995" s="3"/>
      <c r="E995" s="3"/>
      <c r="F995" s="3"/>
      <c r="G995" s="3"/>
      <c r="I995" s="3"/>
    </row>
    <row r="996">
      <c r="C996" s="3"/>
      <c r="D996" s="3"/>
      <c r="E996" s="3"/>
      <c r="F996" s="3"/>
      <c r="G996" s="3"/>
      <c r="I996" s="3"/>
    </row>
    <row r="997">
      <c r="C997" s="3"/>
      <c r="D997" s="3"/>
      <c r="E997" s="3"/>
      <c r="F997" s="3"/>
      <c r="G997" s="3"/>
      <c r="I997" s="3"/>
    </row>
    <row r="998">
      <c r="C998" s="3"/>
      <c r="D998" s="3"/>
      <c r="E998" s="3"/>
      <c r="F998" s="3"/>
      <c r="G998" s="3"/>
      <c r="I998" s="3"/>
    </row>
    <row r="999">
      <c r="C999" s="3"/>
      <c r="D999" s="3"/>
      <c r="E999" s="3"/>
      <c r="F999" s="3"/>
      <c r="G999" s="3"/>
      <c r="I999" s="3"/>
    </row>
    <row r="1000">
      <c r="C1000" s="3"/>
      <c r="D1000" s="3"/>
      <c r="E1000" s="3"/>
      <c r="F1000" s="3"/>
      <c r="G1000" s="3"/>
      <c r="I1000" s="3"/>
    </row>
    <row r="1001">
      <c r="C1001" s="3"/>
      <c r="D1001" s="3"/>
      <c r="E1001" s="3"/>
      <c r="F1001" s="3"/>
      <c r="G1001" s="3"/>
      <c r="I1001" s="3"/>
    </row>
  </sheetData>
  <mergeCells count="4">
    <mergeCell ref="A2:A8"/>
    <mergeCell ref="A9:A15"/>
    <mergeCell ref="A16:A22"/>
    <mergeCell ref="A23:A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23</v>
      </c>
      <c r="D1" s="48" t="s">
        <v>24</v>
      </c>
      <c r="E1" s="48" t="s">
        <v>25</v>
      </c>
      <c r="F1" s="48" t="s">
        <v>26</v>
      </c>
      <c r="G1" s="3"/>
      <c r="I1" s="3"/>
    </row>
    <row r="2">
      <c r="A2" s="4" t="s">
        <v>4</v>
      </c>
      <c r="B2" s="5">
        <v>46174.0</v>
      </c>
      <c r="C2" s="6">
        <v>5927.0</v>
      </c>
      <c r="D2" s="6">
        <v>10482.0</v>
      </c>
      <c r="E2" s="6">
        <v>11558.0</v>
      </c>
      <c r="F2" s="6">
        <v>10547.0</v>
      </c>
      <c r="G2" s="7">
        <f t="shared" ref="G2:G29" si="1">SUM(C2+D2+E2+F2)</f>
        <v>38514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7010.0</v>
      </c>
      <c r="D3" s="6">
        <v>11345.0</v>
      </c>
      <c r="E3" s="6">
        <v>12151.0</v>
      </c>
      <c r="F3" s="6">
        <v>10201.0</v>
      </c>
      <c r="G3" s="7">
        <f t="shared" si="1"/>
        <v>40707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6784.0</v>
      </c>
      <c r="D4" s="6">
        <v>13402.0</v>
      </c>
      <c r="E4" s="6">
        <v>13426.0</v>
      </c>
      <c r="F4" s="6">
        <v>10468.0</v>
      </c>
      <c r="G4" s="7">
        <f t="shared" si="1"/>
        <v>44080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5253.0</v>
      </c>
      <c r="D5" s="6">
        <v>12120.0</v>
      </c>
      <c r="E5" s="6">
        <v>10955.0</v>
      </c>
      <c r="F5" s="6">
        <v>10613.0</v>
      </c>
      <c r="G5" s="7">
        <f t="shared" si="1"/>
        <v>38941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6292.0</v>
      </c>
      <c r="D6" s="6">
        <v>8559.0</v>
      </c>
      <c r="E6" s="6"/>
      <c r="F6" s="6">
        <v>9023.0</v>
      </c>
      <c r="G6" s="7">
        <f t="shared" si="1"/>
        <v>23874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7799.0</v>
      </c>
      <c r="D7" s="6">
        <v>18059.0</v>
      </c>
      <c r="E7" s="6"/>
      <c r="F7" s="6">
        <v>13389.0</v>
      </c>
      <c r="G7" s="7">
        <f t="shared" si="1"/>
        <v>39247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/>
      <c r="D8" s="6"/>
      <c r="E8" s="9"/>
      <c r="F8" s="6"/>
      <c r="G8" s="7">
        <f t="shared" si="1"/>
        <v>0</v>
      </c>
      <c r="H8" s="11" t="s">
        <v>5</v>
      </c>
      <c r="I8" s="12">
        <f>SUM(G2:G8)</f>
        <v>225363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18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39065</v>
      </c>
      <c r="D30" s="45">
        <f t="shared" si="2"/>
        <v>73967</v>
      </c>
      <c r="E30" s="45">
        <f t="shared" si="2"/>
        <v>48090</v>
      </c>
      <c r="F30" s="45">
        <f t="shared" si="2"/>
        <v>64241</v>
      </c>
      <c r="G30" s="45">
        <f t="shared" si="2"/>
        <v>225363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27</v>
      </c>
      <c r="D1" s="48" t="s">
        <v>28</v>
      </c>
      <c r="E1" s="48" t="s">
        <v>29</v>
      </c>
      <c r="F1" s="48" t="s">
        <v>30</v>
      </c>
      <c r="G1" s="3"/>
      <c r="I1" s="3"/>
    </row>
    <row r="2">
      <c r="A2" s="4" t="s">
        <v>4</v>
      </c>
      <c r="B2" s="5">
        <v>46174.0</v>
      </c>
      <c r="C2" s="6">
        <v>13197.0</v>
      </c>
      <c r="D2" s="6">
        <v>18502.0</v>
      </c>
      <c r="E2" s="6">
        <v>6882.0</v>
      </c>
      <c r="F2" s="6">
        <v>8651.0</v>
      </c>
      <c r="G2" s="7">
        <f t="shared" ref="G2:G29" si="1">SUM(C2+D2+E2+F2)</f>
        <v>47232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7259.0</v>
      </c>
      <c r="D3" s="6">
        <v>22167.0</v>
      </c>
      <c r="E3" s="6">
        <v>7603.0</v>
      </c>
      <c r="F3" s="6">
        <v>9909.0</v>
      </c>
      <c r="G3" s="7">
        <f t="shared" si="1"/>
        <v>46938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12611.0</v>
      </c>
      <c r="D4" s="6">
        <v>17226.0</v>
      </c>
      <c r="E4" s="6">
        <v>9547.0</v>
      </c>
      <c r="F4" s="6">
        <v>5144.0</v>
      </c>
      <c r="G4" s="7">
        <f t="shared" si="1"/>
        <v>44528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10771.0</v>
      </c>
      <c r="D5" s="6">
        <v>16083.0</v>
      </c>
      <c r="E5" s="6">
        <v>11246.0</v>
      </c>
      <c r="F5" s="6">
        <v>7845.0</v>
      </c>
      <c r="G5" s="7">
        <f t="shared" si="1"/>
        <v>45945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/>
      <c r="D6" s="6"/>
      <c r="E6" s="6"/>
      <c r="F6" s="9"/>
      <c r="G6" s="7">
        <f t="shared" si="1"/>
        <v>0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/>
      <c r="D7" s="6"/>
      <c r="E7" s="6"/>
      <c r="F7" s="9"/>
      <c r="G7" s="7">
        <f t="shared" si="1"/>
        <v>0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/>
      <c r="D8" s="6"/>
      <c r="E8" s="9"/>
      <c r="F8" s="9"/>
      <c r="G8" s="7">
        <f t="shared" si="1"/>
        <v>0</v>
      </c>
      <c r="H8" s="11" t="s">
        <v>5</v>
      </c>
      <c r="I8" s="12">
        <f>SUM(G2:G8)</f>
        <v>184643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18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43838</v>
      </c>
      <c r="D30" s="45">
        <f t="shared" si="2"/>
        <v>73978</v>
      </c>
      <c r="E30" s="45">
        <f t="shared" si="2"/>
        <v>35278</v>
      </c>
      <c r="F30" s="45">
        <f t="shared" si="2"/>
        <v>31549</v>
      </c>
      <c r="G30" s="45">
        <f t="shared" si="2"/>
        <v>184643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31</v>
      </c>
      <c r="D1" s="48" t="s">
        <v>32</v>
      </c>
      <c r="E1" s="48" t="s">
        <v>33</v>
      </c>
      <c r="F1" s="48" t="s">
        <v>34</v>
      </c>
      <c r="G1" s="3"/>
      <c r="I1" s="3"/>
    </row>
    <row r="2">
      <c r="A2" s="4" t="s">
        <v>4</v>
      </c>
      <c r="B2" s="5">
        <v>46174.0</v>
      </c>
      <c r="C2" s="6">
        <v>10193.0</v>
      </c>
      <c r="D2" s="6">
        <v>9287.0</v>
      </c>
      <c r="E2" s="6">
        <v>13095.0</v>
      </c>
      <c r="F2" s="6">
        <v>11472.0</v>
      </c>
      <c r="G2" s="7">
        <f t="shared" ref="G2:G29" si="1">SUM(C2+D2+E2+F2)</f>
        <v>44047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13403.0</v>
      </c>
      <c r="D3" s="6">
        <v>6033.0</v>
      </c>
      <c r="E3" s="6">
        <v>13328.0</v>
      </c>
      <c r="F3" s="6">
        <v>13815.0</v>
      </c>
      <c r="G3" s="7">
        <f t="shared" si="1"/>
        <v>46579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11815.0</v>
      </c>
      <c r="D4" s="6">
        <v>4789.0</v>
      </c>
      <c r="E4" s="6">
        <v>16684.0</v>
      </c>
      <c r="F4" s="49">
        <v>11448.0</v>
      </c>
      <c r="G4" s="7">
        <f t="shared" si="1"/>
        <v>44736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11570.0</v>
      </c>
      <c r="D5" s="6">
        <v>8010.0</v>
      </c>
      <c r="E5" s="6">
        <v>14629.0</v>
      </c>
      <c r="F5" s="49">
        <v>14735.0</v>
      </c>
      <c r="G5" s="7">
        <f t="shared" si="1"/>
        <v>48944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10298.0</v>
      </c>
      <c r="D6" s="6">
        <v>8302.0</v>
      </c>
      <c r="E6" s="6">
        <v>11885.0</v>
      </c>
      <c r="F6" s="49">
        <v>10102.0</v>
      </c>
      <c r="G6" s="7">
        <f t="shared" si="1"/>
        <v>40587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17247.0</v>
      </c>
      <c r="D7" s="6">
        <v>9181.0</v>
      </c>
      <c r="E7" s="6">
        <v>11311.0</v>
      </c>
      <c r="F7" s="49">
        <v>11449.0</v>
      </c>
      <c r="G7" s="7">
        <f t="shared" si="1"/>
        <v>49188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10052.0</v>
      </c>
      <c r="D8" s="6"/>
      <c r="E8" s="9"/>
      <c r="F8" s="9"/>
      <c r="G8" s="7">
        <f t="shared" si="1"/>
        <v>10052</v>
      </c>
      <c r="H8" s="11" t="s">
        <v>5</v>
      </c>
      <c r="I8" s="12">
        <f>SUM(G2:G8)</f>
        <v>284133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18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84578</v>
      </c>
      <c r="D30" s="45">
        <f t="shared" si="2"/>
        <v>45602</v>
      </c>
      <c r="E30" s="45">
        <f t="shared" si="2"/>
        <v>80932</v>
      </c>
      <c r="F30" s="45">
        <f t="shared" si="2"/>
        <v>73021</v>
      </c>
      <c r="G30" s="45">
        <f t="shared" si="2"/>
        <v>284133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35</v>
      </c>
      <c r="D31" s="46" t="s">
        <v>36</v>
      </c>
      <c r="E31" s="46" t="s">
        <v>37</v>
      </c>
      <c r="F31" s="46" t="s">
        <v>38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39</v>
      </c>
      <c r="D1" s="48" t="s">
        <v>40</v>
      </c>
      <c r="E1" s="48" t="s">
        <v>41</v>
      </c>
      <c r="F1" s="51" t="s">
        <v>42</v>
      </c>
      <c r="G1" s="3"/>
      <c r="I1" s="3"/>
    </row>
    <row r="2">
      <c r="A2" s="4" t="s">
        <v>4</v>
      </c>
      <c r="B2" s="5">
        <v>46174.0</v>
      </c>
      <c r="C2" s="6">
        <v>13021.0</v>
      </c>
      <c r="D2" s="6">
        <v>7311.0</v>
      </c>
      <c r="E2" s="6">
        <v>9616.0</v>
      </c>
      <c r="F2" s="6">
        <v>18098.0</v>
      </c>
      <c r="G2" s="7">
        <f t="shared" ref="G2:G29" si="1">SUM(C2+D2+E2+F2)</f>
        <v>48046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11020.0</v>
      </c>
      <c r="D3" s="6">
        <v>10756.0</v>
      </c>
      <c r="E3" s="6">
        <v>10118.0</v>
      </c>
      <c r="F3" s="6">
        <v>15120.0</v>
      </c>
      <c r="G3" s="7">
        <f t="shared" si="1"/>
        <v>47014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15523.0</v>
      </c>
      <c r="D4" s="6">
        <v>11012.0</v>
      </c>
      <c r="E4" s="6">
        <v>9580.0</v>
      </c>
      <c r="F4" s="49">
        <v>15886.0</v>
      </c>
      <c r="G4" s="7">
        <f t="shared" si="1"/>
        <v>52001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11401.0</v>
      </c>
      <c r="D5" s="6">
        <v>11680.0</v>
      </c>
      <c r="E5" s="6">
        <v>11860.0</v>
      </c>
      <c r="F5" s="49">
        <v>16432.0</v>
      </c>
      <c r="G5" s="7">
        <f t="shared" si="1"/>
        <v>51373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16206.0</v>
      </c>
      <c r="D6" s="6">
        <v>11181.0</v>
      </c>
      <c r="E6" s="6">
        <v>12586.0</v>
      </c>
      <c r="F6" s="49">
        <v>14574.0</v>
      </c>
      <c r="G6" s="7">
        <f t="shared" si="1"/>
        <v>54547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13068.0</v>
      </c>
      <c r="D7" s="6">
        <v>14332.0</v>
      </c>
      <c r="E7" s="6">
        <v>11784.0</v>
      </c>
      <c r="F7" s="49">
        <v>19534.0</v>
      </c>
      <c r="G7" s="7">
        <f t="shared" si="1"/>
        <v>58718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13137.0</v>
      </c>
      <c r="D8" s="6">
        <v>12290.0</v>
      </c>
      <c r="E8" s="49">
        <v>6542.0</v>
      </c>
      <c r="F8" s="49">
        <v>16423.0</v>
      </c>
      <c r="G8" s="7">
        <f t="shared" si="1"/>
        <v>48392</v>
      </c>
      <c r="H8" s="11" t="s">
        <v>5</v>
      </c>
      <c r="I8" s="12">
        <f>SUM(G2:G8)</f>
        <v>360091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18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93376</v>
      </c>
      <c r="D30" s="45">
        <f t="shared" si="2"/>
        <v>78562</v>
      </c>
      <c r="E30" s="45">
        <f t="shared" si="2"/>
        <v>72086</v>
      </c>
      <c r="F30" s="45">
        <f t="shared" si="2"/>
        <v>116067</v>
      </c>
      <c r="G30" s="45">
        <f t="shared" si="2"/>
        <v>360091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43</v>
      </c>
      <c r="D1" s="48" t="s">
        <v>44</v>
      </c>
      <c r="E1" s="52" t="s">
        <v>45</v>
      </c>
      <c r="F1" s="48" t="s">
        <v>46</v>
      </c>
      <c r="G1" s="3"/>
      <c r="I1" s="3"/>
    </row>
    <row r="2">
      <c r="A2" s="4" t="s">
        <v>4</v>
      </c>
      <c r="B2" s="5">
        <v>46174.0</v>
      </c>
      <c r="C2" s="6">
        <v>14276.0</v>
      </c>
      <c r="D2" s="6">
        <v>6406.0</v>
      </c>
      <c r="E2" s="6">
        <v>22763.0</v>
      </c>
      <c r="F2" s="6">
        <v>10992.0</v>
      </c>
      <c r="G2" s="7">
        <f t="shared" ref="G2:G29" si="1">SUM(C2+D2+E2+F2)</f>
        <v>54437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17087.0</v>
      </c>
      <c r="D3" s="6">
        <v>10097.0</v>
      </c>
      <c r="E3" s="6">
        <v>20472.0</v>
      </c>
      <c r="F3" s="6">
        <v>11773.0</v>
      </c>
      <c r="G3" s="7">
        <f t="shared" si="1"/>
        <v>59429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18150.0</v>
      </c>
      <c r="D4" s="6">
        <v>10063.0</v>
      </c>
      <c r="E4" s="6">
        <v>21225.0</v>
      </c>
      <c r="F4" s="6">
        <v>7430.0</v>
      </c>
      <c r="G4" s="7">
        <f t="shared" si="1"/>
        <v>56868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18133.0</v>
      </c>
      <c r="D5" s="6">
        <v>10093.0</v>
      </c>
      <c r="E5" s="6">
        <v>20495.0</v>
      </c>
      <c r="F5" s="6">
        <v>11666.0</v>
      </c>
      <c r="G5" s="7">
        <f t="shared" si="1"/>
        <v>60387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15576.0</v>
      </c>
      <c r="D6" s="6">
        <v>15058.0</v>
      </c>
      <c r="E6" s="6">
        <v>11840.0</v>
      </c>
      <c r="F6" s="6">
        <v>14572.0</v>
      </c>
      <c r="G6" s="7">
        <f t="shared" si="1"/>
        <v>57046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18757.0</v>
      </c>
      <c r="D7" s="6">
        <v>12264.0</v>
      </c>
      <c r="E7" s="6">
        <v>14367.0</v>
      </c>
      <c r="F7" s="9">
        <f>4411+5736</f>
        <v>10147</v>
      </c>
      <c r="G7" s="7">
        <f t="shared" si="1"/>
        <v>55535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13264.0</v>
      </c>
      <c r="D8" s="6">
        <v>14073.0</v>
      </c>
      <c r="E8" s="6">
        <v>10803.0</v>
      </c>
      <c r="F8" s="6">
        <v>9715.0</v>
      </c>
      <c r="G8" s="7">
        <f t="shared" si="1"/>
        <v>47855</v>
      </c>
      <c r="H8" s="11" t="s">
        <v>5</v>
      </c>
      <c r="I8" s="12">
        <f>SUM(G2:G8)</f>
        <v>391557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115243</v>
      </c>
      <c r="D30" s="45">
        <f t="shared" si="2"/>
        <v>78054</v>
      </c>
      <c r="E30" s="45">
        <f t="shared" si="2"/>
        <v>121965</v>
      </c>
      <c r="F30" s="45">
        <f t="shared" si="2"/>
        <v>76295</v>
      </c>
      <c r="G30" s="45">
        <f t="shared" si="2"/>
        <v>391557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47</v>
      </c>
      <c r="D1" s="48" t="s">
        <v>48</v>
      </c>
      <c r="E1" s="48" t="s">
        <v>49</v>
      </c>
      <c r="F1" s="48" t="s">
        <v>50</v>
      </c>
      <c r="G1" s="3"/>
      <c r="I1" s="3"/>
    </row>
    <row r="2">
      <c r="A2" s="4" t="s">
        <v>4</v>
      </c>
      <c r="B2" s="5">
        <v>46174.0</v>
      </c>
      <c r="C2" s="6">
        <v>14140.0</v>
      </c>
      <c r="D2" s="6">
        <v>11318.0</v>
      </c>
      <c r="E2" s="6">
        <v>11190.0</v>
      </c>
      <c r="F2" s="6">
        <v>14274.0</v>
      </c>
      <c r="G2" s="7">
        <f t="shared" ref="G2:G29" si="1">SUM(C2+D2+E2+F2)</f>
        <v>50922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11785.0</v>
      </c>
      <c r="D3" s="6">
        <v>11414.0</v>
      </c>
      <c r="E3" s="6">
        <v>10352.0</v>
      </c>
      <c r="F3" s="6">
        <v>13310.0</v>
      </c>
      <c r="G3" s="7">
        <f t="shared" si="1"/>
        <v>46861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13307.0</v>
      </c>
      <c r="D4" s="6">
        <v>13289.0</v>
      </c>
      <c r="E4" s="6">
        <v>10106.0</v>
      </c>
      <c r="F4" s="49">
        <v>13447.0</v>
      </c>
      <c r="G4" s="7">
        <f t="shared" si="1"/>
        <v>50149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14279.0</v>
      </c>
      <c r="D5" s="6">
        <v>10587.0</v>
      </c>
      <c r="E5" s="6">
        <v>8648.0</v>
      </c>
      <c r="F5" s="6">
        <v>12262.0</v>
      </c>
      <c r="G5" s="7">
        <f t="shared" si="1"/>
        <v>45776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10780.0</v>
      </c>
      <c r="D6" s="6">
        <v>15096.0</v>
      </c>
      <c r="E6" s="6">
        <v>8506.0</v>
      </c>
      <c r="F6" s="6">
        <v>12509.0</v>
      </c>
      <c r="G6" s="7">
        <f t="shared" si="1"/>
        <v>46891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10298.0</v>
      </c>
      <c r="D7" s="6">
        <v>10113.0</v>
      </c>
      <c r="E7" s="6">
        <v>5090.0</v>
      </c>
      <c r="F7" s="6">
        <v>16949.0</v>
      </c>
      <c r="G7" s="7">
        <f t="shared" si="1"/>
        <v>42450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5672.0</v>
      </c>
      <c r="D8" s="6">
        <v>13146.0</v>
      </c>
      <c r="E8" s="6">
        <v>7699.0</v>
      </c>
      <c r="F8" s="6">
        <v>12934.0</v>
      </c>
      <c r="G8" s="7">
        <f t="shared" si="1"/>
        <v>39451</v>
      </c>
      <c r="H8" s="11" t="s">
        <v>5</v>
      </c>
      <c r="I8" s="12">
        <f>SUM(G2:G8)</f>
        <v>322500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80261</v>
      </c>
      <c r="D30" s="45">
        <f t="shared" si="2"/>
        <v>84963</v>
      </c>
      <c r="E30" s="45">
        <f t="shared" si="2"/>
        <v>61591</v>
      </c>
      <c r="F30" s="45">
        <f t="shared" si="2"/>
        <v>95685</v>
      </c>
      <c r="G30" s="45">
        <f t="shared" si="2"/>
        <v>322500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51</v>
      </c>
      <c r="D1" s="48" t="s">
        <v>52</v>
      </c>
      <c r="E1" s="48" t="s">
        <v>53</v>
      </c>
      <c r="F1" s="48" t="s">
        <v>54</v>
      </c>
      <c r="G1" s="3"/>
      <c r="I1" s="3"/>
    </row>
    <row r="2">
      <c r="A2" s="4" t="s">
        <v>4</v>
      </c>
      <c r="B2" s="5">
        <v>46174.0</v>
      </c>
      <c r="C2" s="6">
        <v>13026.0</v>
      </c>
      <c r="D2" s="6">
        <v>16032.0</v>
      </c>
      <c r="E2" s="6">
        <v>15885.0</v>
      </c>
      <c r="F2" s="6">
        <v>8376.0</v>
      </c>
      <c r="G2" s="7">
        <f t="shared" ref="G2:G29" si="1">SUM(C2+D2+E2+F2)</f>
        <v>53319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16375.0</v>
      </c>
      <c r="D3" s="6">
        <v>10633.0</v>
      </c>
      <c r="E3" s="6">
        <v>13109.0</v>
      </c>
      <c r="F3" s="19">
        <v>18363.0</v>
      </c>
      <c r="G3" s="7">
        <f t="shared" si="1"/>
        <v>58480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12301.0</v>
      </c>
      <c r="D4" s="6">
        <v>15881.0</v>
      </c>
      <c r="E4" s="6">
        <v>18181.0</v>
      </c>
      <c r="F4" s="6">
        <v>8294.0</v>
      </c>
      <c r="G4" s="7">
        <f t="shared" si="1"/>
        <v>54657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13956.0</v>
      </c>
      <c r="D5" s="6">
        <v>9013.0</v>
      </c>
      <c r="E5" s="6">
        <v>15158.0</v>
      </c>
      <c r="F5" s="6">
        <v>13146.0</v>
      </c>
      <c r="G5" s="7">
        <f t="shared" si="1"/>
        <v>51273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6089.0</v>
      </c>
      <c r="D6" s="6">
        <v>11574.0</v>
      </c>
      <c r="E6" s="6">
        <v>20743.0</v>
      </c>
      <c r="F6" s="6">
        <v>14511.0</v>
      </c>
      <c r="G6" s="7">
        <f t="shared" si="1"/>
        <v>52917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/>
      <c r="D7" s="6"/>
      <c r="E7" s="6"/>
      <c r="F7" s="9"/>
      <c r="G7" s="7">
        <f t="shared" si="1"/>
        <v>0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/>
      <c r="D8" s="6"/>
      <c r="E8" s="9"/>
      <c r="F8" s="9"/>
      <c r="G8" s="7">
        <f t="shared" si="1"/>
        <v>0</v>
      </c>
      <c r="H8" s="11" t="s">
        <v>5</v>
      </c>
      <c r="I8" s="12">
        <f>SUM(G2:G8)</f>
        <v>270646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19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61747</v>
      </c>
      <c r="D30" s="45">
        <f t="shared" si="2"/>
        <v>63133</v>
      </c>
      <c r="E30" s="45">
        <f t="shared" si="2"/>
        <v>83076</v>
      </c>
      <c r="F30" s="45">
        <f t="shared" si="2"/>
        <v>62690</v>
      </c>
      <c r="G30" s="45">
        <f t="shared" si="2"/>
        <v>270646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55</v>
      </c>
      <c r="D1" s="48" t="s">
        <v>56</v>
      </c>
      <c r="E1" s="48" t="s">
        <v>57</v>
      </c>
      <c r="F1" s="48" t="s">
        <v>58</v>
      </c>
      <c r="G1" s="3"/>
      <c r="I1" s="3"/>
    </row>
    <row r="2">
      <c r="A2" s="4" t="s">
        <v>4</v>
      </c>
      <c r="B2" s="5">
        <v>46174.0</v>
      </c>
      <c r="C2" s="6">
        <v>11138.0</v>
      </c>
      <c r="D2" s="6">
        <v>10511.0</v>
      </c>
      <c r="E2" s="6">
        <v>15101.0</v>
      </c>
      <c r="F2" s="6">
        <v>10459.0</v>
      </c>
      <c r="G2" s="7">
        <f t="shared" ref="G2:G29" si="1">SUM(C2+D2+E2+F2)</f>
        <v>47209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14633.0</v>
      </c>
      <c r="D3" s="6">
        <v>21010.0</v>
      </c>
      <c r="E3" s="6">
        <v>17224.0</v>
      </c>
      <c r="F3" s="6">
        <v>11988.0</v>
      </c>
      <c r="G3" s="7">
        <f t="shared" si="1"/>
        <v>64855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11921.0</v>
      </c>
      <c r="D4" s="6">
        <v>21651.0</v>
      </c>
      <c r="E4" s="6">
        <v>12032.0</v>
      </c>
      <c r="F4" s="49">
        <v>11782.0</v>
      </c>
      <c r="G4" s="7">
        <f t="shared" si="1"/>
        <v>57386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9152.0</v>
      </c>
      <c r="D5" s="6">
        <v>17762.0</v>
      </c>
      <c r="E5" s="6">
        <v>14457.0</v>
      </c>
      <c r="F5" s="49">
        <v>9042.0</v>
      </c>
      <c r="G5" s="7">
        <f t="shared" si="1"/>
        <v>50413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15465.0</v>
      </c>
      <c r="D6" s="6">
        <v>12994.0</v>
      </c>
      <c r="E6" s="6">
        <v>13035.0</v>
      </c>
      <c r="F6" s="49">
        <v>10068.0</v>
      </c>
      <c r="G6" s="7">
        <f t="shared" si="1"/>
        <v>51562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12408.0</v>
      </c>
      <c r="D7" s="6">
        <v>19111.0</v>
      </c>
      <c r="E7" s="6">
        <v>10329.0</v>
      </c>
      <c r="F7" s="49">
        <v>7737.0</v>
      </c>
      <c r="G7" s="7">
        <f t="shared" si="1"/>
        <v>49585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11207.0</v>
      </c>
      <c r="D8" s="6">
        <v>10648.0</v>
      </c>
      <c r="E8" s="6">
        <v>12024.0</v>
      </c>
      <c r="F8" s="6">
        <v>10495.0</v>
      </c>
      <c r="G8" s="7">
        <f t="shared" si="1"/>
        <v>44374</v>
      </c>
      <c r="H8" s="11" t="s">
        <v>5</v>
      </c>
      <c r="I8" s="12">
        <f>SUM(G2:G8)</f>
        <v>365384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85924</v>
      </c>
      <c r="D30" s="45">
        <f t="shared" si="2"/>
        <v>113687</v>
      </c>
      <c r="E30" s="45">
        <f t="shared" si="2"/>
        <v>94202</v>
      </c>
      <c r="F30" s="45">
        <f t="shared" si="2"/>
        <v>71571</v>
      </c>
      <c r="G30" s="45">
        <f t="shared" si="2"/>
        <v>365384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59</v>
      </c>
      <c r="D1" s="48" t="s">
        <v>60</v>
      </c>
      <c r="E1" s="48" t="s">
        <v>61</v>
      </c>
      <c r="F1" s="48" t="s">
        <v>62</v>
      </c>
      <c r="G1" s="3"/>
      <c r="I1" s="3"/>
    </row>
    <row r="2">
      <c r="A2" s="4" t="s">
        <v>4</v>
      </c>
      <c r="B2" s="5">
        <v>46174.0</v>
      </c>
      <c r="C2" s="6">
        <v>20143.0</v>
      </c>
      <c r="D2" s="6">
        <v>10815.0</v>
      </c>
      <c r="E2" s="6">
        <v>10316.0</v>
      </c>
      <c r="F2" s="6">
        <v>14680.0</v>
      </c>
      <c r="G2" s="7">
        <f t="shared" ref="G2:G29" si="1">SUM(C2+D2+E2+F2)</f>
        <v>55954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17403.0</v>
      </c>
      <c r="D3" s="6">
        <v>14387.0</v>
      </c>
      <c r="E3" s="6">
        <v>10011.0</v>
      </c>
      <c r="F3" s="6">
        <v>12861.0</v>
      </c>
      <c r="G3" s="7">
        <f t="shared" si="1"/>
        <v>54662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24255.0</v>
      </c>
      <c r="D4" s="6">
        <v>10393.0</v>
      </c>
      <c r="E4" s="6">
        <v>10304.0</v>
      </c>
      <c r="F4" s="49">
        <v>14286.0</v>
      </c>
      <c r="G4" s="7">
        <f t="shared" si="1"/>
        <v>59238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15682.0</v>
      </c>
      <c r="D5" s="6">
        <v>14842.0</v>
      </c>
      <c r="E5" s="6">
        <v>11224.0</v>
      </c>
      <c r="F5" s="49">
        <v>8883.0</v>
      </c>
      <c r="G5" s="7">
        <f t="shared" si="1"/>
        <v>50631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24893.0</v>
      </c>
      <c r="D6" s="6">
        <v>19509.0</v>
      </c>
      <c r="E6" s="6">
        <v>10025.0</v>
      </c>
      <c r="F6" s="49">
        <v>11133.0</v>
      </c>
      <c r="G6" s="7">
        <f t="shared" si="1"/>
        <v>65560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/>
      <c r="D7" s="6"/>
      <c r="E7" s="6"/>
      <c r="F7" s="9"/>
      <c r="G7" s="7">
        <f t="shared" si="1"/>
        <v>0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/>
      <c r="D8" s="6"/>
      <c r="E8" s="9"/>
      <c r="F8" s="9"/>
      <c r="G8" s="7">
        <f t="shared" si="1"/>
        <v>0</v>
      </c>
      <c r="H8" s="11" t="s">
        <v>5</v>
      </c>
      <c r="I8" s="12">
        <f>SUM(G2:G8)</f>
        <v>286045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102376</v>
      </c>
      <c r="D30" s="45">
        <f t="shared" si="2"/>
        <v>69946</v>
      </c>
      <c r="E30" s="45">
        <f t="shared" si="2"/>
        <v>51880</v>
      </c>
      <c r="F30" s="45">
        <f t="shared" si="2"/>
        <v>61843</v>
      </c>
      <c r="G30" s="45">
        <f t="shared" si="2"/>
        <v>286045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63</v>
      </c>
      <c r="D1" s="48" t="s">
        <v>64</v>
      </c>
      <c r="E1" s="48" t="s">
        <v>65</v>
      </c>
      <c r="F1" s="48" t="s">
        <v>66</v>
      </c>
      <c r="G1" s="3"/>
      <c r="I1" s="3"/>
    </row>
    <row r="2">
      <c r="A2" s="4" t="s">
        <v>4</v>
      </c>
      <c r="B2" s="5">
        <v>46174.0</v>
      </c>
      <c r="C2" s="6">
        <v>8453.0</v>
      </c>
      <c r="D2" s="6">
        <v>26420.0</v>
      </c>
      <c r="E2" s="6">
        <v>11154.0</v>
      </c>
      <c r="F2" s="6">
        <v>11113.0</v>
      </c>
      <c r="G2" s="7">
        <f t="shared" ref="G2:G29" si="1">SUM(C2+D2+E2+F2)</f>
        <v>57140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7668.0</v>
      </c>
      <c r="D3" s="6">
        <v>22154.0</v>
      </c>
      <c r="E3" s="6">
        <v>11284.0</v>
      </c>
      <c r="F3" s="6">
        <v>14271.0</v>
      </c>
      <c r="G3" s="7">
        <f t="shared" si="1"/>
        <v>55377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15257.0</v>
      </c>
      <c r="D4" s="6">
        <v>16144.0</v>
      </c>
      <c r="E4" s="6">
        <v>11630.0</v>
      </c>
      <c r="F4" s="49">
        <v>16128.0</v>
      </c>
      <c r="G4" s="7">
        <f t="shared" si="1"/>
        <v>59159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11361.0</v>
      </c>
      <c r="D5" s="6">
        <v>16644.0</v>
      </c>
      <c r="E5" s="6">
        <v>16203.0</v>
      </c>
      <c r="F5" s="49">
        <v>13255.0</v>
      </c>
      <c r="G5" s="7">
        <f t="shared" si="1"/>
        <v>57463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10272.0</v>
      </c>
      <c r="D6" s="6">
        <v>19393.0</v>
      </c>
      <c r="E6" s="6">
        <v>10871.0</v>
      </c>
      <c r="F6" s="49">
        <v>10978.0</v>
      </c>
      <c r="G6" s="7">
        <f t="shared" si="1"/>
        <v>51514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5453.0</v>
      </c>
      <c r="D7" s="6">
        <v>18053.0</v>
      </c>
      <c r="E7" s="6">
        <v>10630.0</v>
      </c>
      <c r="F7" s="49">
        <v>14726.0</v>
      </c>
      <c r="G7" s="7">
        <f t="shared" si="1"/>
        <v>48862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13913.0</v>
      </c>
      <c r="D8" s="6">
        <v>16375.0</v>
      </c>
      <c r="E8" s="49">
        <v>12350.0</v>
      </c>
      <c r="F8" s="49">
        <v>13204.0</v>
      </c>
      <c r="G8" s="7">
        <f t="shared" si="1"/>
        <v>55842</v>
      </c>
      <c r="H8" s="11" t="s">
        <v>5</v>
      </c>
      <c r="I8" s="12">
        <f>SUM(G2:G8)</f>
        <v>385357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72377</v>
      </c>
      <c r="D30" s="45">
        <f t="shared" si="2"/>
        <v>135183</v>
      </c>
      <c r="E30" s="45">
        <f t="shared" si="2"/>
        <v>84122</v>
      </c>
      <c r="F30" s="45">
        <f t="shared" si="2"/>
        <v>93675</v>
      </c>
      <c r="G30" s="45">
        <f t="shared" si="2"/>
        <v>385357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A1" s="53" t="s">
        <v>67</v>
      </c>
      <c r="C1" s="47" t="s">
        <v>68</v>
      </c>
      <c r="D1" s="48" t="s">
        <v>69</v>
      </c>
      <c r="E1" s="48" t="s">
        <v>70</v>
      </c>
      <c r="F1" s="48" t="s">
        <v>71</v>
      </c>
      <c r="G1" s="3"/>
      <c r="I1" s="3"/>
    </row>
    <row r="2">
      <c r="A2" s="4" t="s">
        <v>4</v>
      </c>
      <c r="B2" s="5">
        <v>46174.0</v>
      </c>
      <c r="C2" s="6">
        <v>16247.0</v>
      </c>
      <c r="D2" s="6">
        <v>12220.0</v>
      </c>
      <c r="E2" s="6">
        <v>15633.0</v>
      </c>
      <c r="F2" s="6">
        <v>13408.0</v>
      </c>
      <c r="G2" s="7">
        <f t="shared" ref="G2:G29" si="1">SUM(C2+D2+E2+F2)</f>
        <v>57508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14107.0</v>
      </c>
      <c r="D3" s="6">
        <v>14009.0</v>
      </c>
      <c r="E3" s="6">
        <v>13521.0</v>
      </c>
      <c r="F3" s="6">
        <v>18577.0</v>
      </c>
      <c r="G3" s="7">
        <f t="shared" si="1"/>
        <v>60214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11853.0</v>
      </c>
      <c r="D4" s="6">
        <v>10068.0</v>
      </c>
      <c r="E4" s="6">
        <v>3967.0</v>
      </c>
      <c r="F4" s="49">
        <v>12976.0</v>
      </c>
      <c r="G4" s="7">
        <f t="shared" si="1"/>
        <v>38864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12809.0</v>
      </c>
      <c r="D5" s="6">
        <v>12504.0</v>
      </c>
      <c r="E5" s="6">
        <v>9198.0</v>
      </c>
      <c r="F5" s="49">
        <v>13812.0</v>
      </c>
      <c r="G5" s="7">
        <f t="shared" si="1"/>
        <v>48323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8524.0</v>
      </c>
      <c r="D6" s="6">
        <v>10131.0</v>
      </c>
      <c r="E6" s="6">
        <v>2752.0</v>
      </c>
      <c r="F6" s="6">
        <v>11325.0</v>
      </c>
      <c r="G6" s="7">
        <f t="shared" si="1"/>
        <v>32732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22916.0</v>
      </c>
      <c r="D7" s="6">
        <v>12955.0</v>
      </c>
      <c r="E7" s="6">
        <v>9772.0</v>
      </c>
      <c r="F7" s="49">
        <v>16753.0</v>
      </c>
      <c r="G7" s="7">
        <f t="shared" si="1"/>
        <v>62396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16312.0</v>
      </c>
      <c r="D8" s="6">
        <v>9180.0</v>
      </c>
      <c r="E8" s="6">
        <v>6650.0</v>
      </c>
      <c r="F8" s="6">
        <v>11317.0</v>
      </c>
      <c r="G8" s="7">
        <f t="shared" si="1"/>
        <v>43459</v>
      </c>
      <c r="H8" s="11" t="s">
        <v>5</v>
      </c>
      <c r="I8" s="12">
        <f>SUM(G2:G8)</f>
        <v>343496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102768</v>
      </c>
      <c r="D30" s="45">
        <f t="shared" si="2"/>
        <v>81067</v>
      </c>
      <c r="E30" s="45">
        <f t="shared" si="2"/>
        <v>61493</v>
      </c>
      <c r="F30" s="45">
        <f t="shared" si="2"/>
        <v>98168</v>
      </c>
      <c r="G30" s="45">
        <f t="shared" si="2"/>
        <v>343496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72</v>
      </c>
      <c r="D1" s="48" t="s">
        <v>73</v>
      </c>
      <c r="E1" s="48" t="s">
        <v>74</v>
      </c>
      <c r="F1" s="48" t="s">
        <v>75</v>
      </c>
      <c r="G1" s="3"/>
      <c r="I1" s="3"/>
    </row>
    <row r="2">
      <c r="A2" s="4" t="s">
        <v>4</v>
      </c>
      <c r="B2" s="5">
        <v>46174.0</v>
      </c>
      <c r="C2" s="6">
        <v>18429.0</v>
      </c>
      <c r="D2" s="6">
        <v>11862.0</v>
      </c>
      <c r="E2" s="6">
        <v>10779.0</v>
      </c>
      <c r="F2" s="6">
        <v>7724.0</v>
      </c>
      <c r="G2" s="7">
        <f t="shared" ref="G2:G29" si="1">SUM(C2+D2+E2+F2)</f>
        <v>48794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22351.0</v>
      </c>
      <c r="D3" s="6">
        <v>14797.0</v>
      </c>
      <c r="E3" s="6">
        <v>13296.0</v>
      </c>
      <c r="F3" s="6">
        <v>15712.0</v>
      </c>
      <c r="G3" s="7">
        <f t="shared" si="1"/>
        <v>66156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22908.0</v>
      </c>
      <c r="D4" s="6">
        <v>13892.0</v>
      </c>
      <c r="E4" s="6">
        <v>16626.0</v>
      </c>
      <c r="F4" s="49">
        <v>16723.0</v>
      </c>
      <c r="G4" s="7">
        <f t="shared" si="1"/>
        <v>70149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21380.0</v>
      </c>
      <c r="D5" s="6">
        <v>11920.0</v>
      </c>
      <c r="E5" s="6">
        <v>16330.0</v>
      </c>
      <c r="F5" s="49">
        <v>19155.0</v>
      </c>
      <c r="G5" s="7">
        <f t="shared" si="1"/>
        <v>68785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24878.0</v>
      </c>
      <c r="D6" s="6">
        <v>14983.0</v>
      </c>
      <c r="E6" s="6">
        <v>22953.0</v>
      </c>
      <c r="F6" s="49">
        <v>15205.0</v>
      </c>
      <c r="G6" s="7">
        <f t="shared" si="1"/>
        <v>78019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23381.0</v>
      </c>
      <c r="D7" s="6">
        <v>14544.0</v>
      </c>
      <c r="E7" s="6">
        <v>22214.0</v>
      </c>
      <c r="F7" s="49">
        <v>20951.0</v>
      </c>
      <c r="G7" s="7">
        <f t="shared" si="1"/>
        <v>81090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21241.0</v>
      </c>
      <c r="D8" s="6">
        <v>16914.0</v>
      </c>
      <c r="E8" s="6">
        <v>10026.0</v>
      </c>
      <c r="F8" s="49">
        <v>13252.0</v>
      </c>
      <c r="G8" s="7">
        <f t="shared" si="1"/>
        <v>61433</v>
      </c>
      <c r="H8" s="11" t="s">
        <v>5</v>
      </c>
      <c r="I8" s="12">
        <f>SUM(G2:G8)</f>
        <v>474426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154568</v>
      </c>
      <c r="D30" s="45">
        <f t="shared" si="2"/>
        <v>98912</v>
      </c>
      <c r="E30" s="45">
        <f t="shared" si="2"/>
        <v>112224</v>
      </c>
      <c r="F30" s="45">
        <f t="shared" si="2"/>
        <v>108722</v>
      </c>
      <c r="G30" s="45">
        <f t="shared" si="2"/>
        <v>474426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76</v>
      </c>
      <c r="D1" s="48" t="s">
        <v>77</v>
      </c>
      <c r="E1" s="48" t="s">
        <v>78</v>
      </c>
      <c r="F1" s="48" t="s">
        <v>79</v>
      </c>
      <c r="G1" s="3"/>
      <c r="I1" s="3"/>
    </row>
    <row r="2">
      <c r="A2" s="4" t="s">
        <v>4</v>
      </c>
      <c r="B2" s="5">
        <v>46174.0</v>
      </c>
      <c r="C2" s="6">
        <v>15205.0</v>
      </c>
      <c r="D2" s="6">
        <v>11171.0</v>
      </c>
      <c r="E2" s="6">
        <v>12828.0</v>
      </c>
      <c r="F2" s="6">
        <v>9879.0</v>
      </c>
      <c r="G2" s="7">
        <f t="shared" ref="G2:G29" si="1">SUM(C2+D2+E2+F2)</f>
        <v>49083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15782.0</v>
      </c>
      <c r="D3" s="6">
        <v>21720.0</v>
      </c>
      <c r="E3" s="6">
        <v>14157.0</v>
      </c>
      <c r="F3" s="6">
        <v>15147.0</v>
      </c>
      <c r="G3" s="7">
        <f t="shared" si="1"/>
        <v>66806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16386.0</v>
      </c>
      <c r="D4" s="6">
        <v>12861.0</v>
      </c>
      <c r="E4" s="6">
        <v>12364.0</v>
      </c>
      <c r="F4" s="49">
        <v>14477.0</v>
      </c>
      <c r="G4" s="7">
        <f t="shared" si="1"/>
        <v>56088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17625.0</v>
      </c>
      <c r="D5" s="6">
        <v>10933.0</v>
      </c>
      <c r="E5" s="6">
        <v>13221.0</v>
      </c>
      <c r="F5" s="49">
        <v>15406.0</v>
      </c>
      <c r="G5" s="7">
        <f t="shared" si="1"/>
        <v>57185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10058.0</v>
      </c>
      <c r="D6" s="6">
        <v>12519.0</v>
      </c>
      <c r="E6" s="6">
        <v>10955.0</v>
      </c>
      <c r="F6" s="49">
        <v>15898.0</v>
      </c>
      <c r="G6" s="7">
        <f t="shared" si="1"/>
        <v>49430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11781.0</v>
      </c>
      <c r="D7" s="6">
        <v>11252.0</v>
      </c>
      <c r="E7" s="6">
        <v>15916.0</v>
      </c>
      <c r="F7" s="49">
        <v>15723.0</v>
      </c>
      <c r="G7" s="7">
        <f t="shared" si="1"/>
        <v>54672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10575.0</v>
      </c>
      <c r="D8" s="6">
        <v>10301.0</v>
      </c>
      <c r="E8" s="49">
        <v>13455.0</v>
      </c>
      <c r="F8" s="9"/>
      <c r="G8" s="7">
        <f t="shared" si="1"/>
        <v>34331</v>
      </c>
      <c r="H8" s="11" t="s">
        <v>5</v>
      </c>
      <c r="I8" s="12">
        <f>SUM(G2:G8)</f>
        <v>367595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97412</v>
      </c>
      <c r="D30" s="45">
        <f t="shared" si="2"/>
        <v>90757</v>
      </c>
      <c r="E30" s="45">
        <f t="shared" si="2"/>
        <v>92896</v>
      </c>
      <c r="F30" s="45">
        <f t="shared" si="2"/>
        <v>86530</v>
      </c>
      <c r="G30" s="45">
        <f t="shared" si="2"/>
        <v>367595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80</v>
      </c>
      <c r="D1" s="48" t="s">
        <v>81</v>
      </c>
      <c r="E1" s="48" t="s">
        <v>82</v>
      </c>
      <c r="F1" s="48" t="s">
        <v>83</v>
      </c>
      <c r="G1" s="3"/>
      <c r="I1" s="3"/>
    </row>
    <row r="2">
      <c r="A2" s="4" t="s">
        <v>4</v>
      </c>
      <c r="B2" s="5">
        <v>46174.0</v>
      </c>
      <c r="C2" s="54">
        <v>11257.0</v>
      </c>
      <c r="D2" s="54">
        <v>3159.0</v>
      </c>
      <c r="E2" s="54">
        <v>26305.0</v>
      </c>
      <c r="F2" s="54">
        <v>12040.0</v>
      </c>
      <c r="G2" s="7">
        <f t="shared" ref="G2:G29" si="1">SUM(C2+D2+E2+F2)</f>
        <v>52761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15214.0</v>
      </c>
      <c r="D3" s="6">
        <v>8075.0</v>
      </c>
      <c r="E3" s="6">
        <v>28300.0</v>
      </c>
      <c r="F3" s="6">
        <v>15159.0</v>
      </c>
      <c r="G3" s="7">
        <f t="shared" si="1"/>
        <v>66748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15498.0</v>
      </c>
      <c r="D4" s="6">
        <v>285.0</v>
      </c>
      <c r="E4" s="6">
        <v>16794.0</v>
      </c>
      <c r="F4" s="6">
        <v>16059.0</v>
      </c>
      <c r="G4" s="7">
        <f t="shared" si="1"/>
        <v>48636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13592.0</v>
      </c>
      <c r="D5" s="6">
        <v>5356.0</v>
      </c>
      <c r="E5" s="6">
        <v>20529.0</v>
      </c>
      <c r="F5" s="6">
        <v>16375.0</v>
      </c>
      <c r="G5" s="7">
        <f t="shared" si="1"/>
        <v>55852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12420.0</v>
      </c>
      <c r="D6" s="6">
        <v>8028.0</v>
      </c>
      <c r="E6" s="6">
        <v>16468.0</v>
      </c>
      <c r="F6" s="6">
        <v>15510.0</v>
      </c>
      <c r="G6" s="7">
        <f t="shared" si="1"/>
        <v>52426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15806.0</v>
      </c>
      <c r="D7" s="6">
        <v>8804.0</v>
      </c>
      <c r="E7" s="6">
        <v>13445.0</v>
      </c>
      <c r="F7" s="6">
        <v>11816.0</v>
      </c>
      <c r="G7" s="7">
        <f t="shared" si="1"/>
        <v>49871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10223.0</v>
      </c>
      <c r="D8" s="6">
        <v>6411.0</v>
      </c>
      <c r="E8" s="6">
        <v>10007.0</v>
      </c>
      <c r="F8" s="6">
        <v>10703.0</v>
      </c>
      <c r="G8" s="7">
        <f t="shared" si="1"/>
        <v>37344</v>
      </c>
      <c r="H8" s="11" t="s">
        <v>5</v>
      </c>
      <c r="I8" s="12">
        <f>SUM(G2:G8)</f>
        <v>363638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94010</v>
      </c>
      <c r="D30" s="45">
        <f t="shared" si="2"/>
        <v>40118</v>
      </c>
      <c r="E30" s="45">
        <f t="shared" si="2"/>
        <v>131848</v>
      </c>
      <c r="F30" s="45">
        <f t="shared" si="2"/>
        <v>97662</v>
      </c>
      <c r="G30" s="45">
        <f t="shared" si="2"/>
        <v>363638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84</v>
      </c>
      <c r="D1" s="48" t="s">
        <v>85</v>
      </c>
      <c r="E1" s="48" t="s">
        <v>86</v>
      </c>
      <c r="F1" s="48" t="s">
        <v>87</v>
      </c>
      <c r="G1" s="3"/>
      <c r="I1" s="3"/>
    </row>
    <row r="2">
      <c r="A2" s="4" t="s">
        <v>4</v>
      </c>
      <c r="B2" s="5">
        <v>46174.0</v>
      </c>
      <c r="C2" s="6">
        <v>16486.0</v>
      </c>
      <c r="D2" s="6">
        <v>7868.0</v>
      </c>
      <c r="E2" s="6">
        <v>13359.0</v>
      </c>
      <c r="F2" s="6">
        <v>4941.0</v>
      </c>
      <c r="G2" s="7">
        <f t="shared" ref="G2:G29" si="1">SUM(C2+D2+E2+F2)</f>
        <v>42654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24382.0</v>
      </c>
      <c r="D3" s="6">
        <v>14601.0</v>
      </c>
      <c r="E3" s="6">
        <v>12935.0</v>
      </c>
      <c r="F3" s="6">
        <v>6063.0</v>
      </c>
      <c r="G3" s="7">
        <f t="shared" si="1"/>
        <v>57981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22816.0</v>
      </c>
      <c r="D4" s="6">
        <v>7426.0</v>
      </c>
      <c r="E4" s="6">
        <v>12172.0</v>
      </c>
      <c r="F4" s="6">
        <v>4791.0</v>
      </c>
      <c r="G4" s="7">
        <f t="shared" si="1"/>
        <v>47205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19550.0</v>
      </c>
      <c r="D5" s="6">
        <v>12318.0</v>
      </c>
      <c r="E5" s="6">
        <v>17956.0</v>
      </c>
      <c r="F5" s="6">
        <v>6943.0</v>
      </c>
      <c r="G5" s="7">
        <f t="shared" si="1"/>
        <v>56767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22103.0</v>
      </c>
      <c r="D6" s="6">
        <v>20220.0</v>
      </c>
      <c r="E6" s="6">
        <v>13921.0</v>
      </c>
      <c r="F6" s="6">
        <v>10109.0</v>
      </c>
      <c r="G6" s="7">
        <f t="shared" si="1"/>
        <v>66353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19341.0</v>
      </c>
      <c r="D7" s="6">
        <v>18009.0</v>
      </c>
      <c r="E7" s="6">
        <v>10939.0</v>
      </c>
      <c r="F7" s="6">
        <v>13307.0</v>
      </c>
      <c r="G7" s="7">
        <f t="shared" si="1"/>
        <v>61596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/>
      <c r="D8" s="6"/>
      <c r="E8" s="9"/>
      <c r="F8" s="9"/>
      <c r="G8" s="7">
        <f t="shared" si="1"/>
        <v>0</v>
      </c>
      <c r="H8" s="11" t="s">
        <v>5</v>
      </c>
      <c r="I8" s="12">
        <f>SUM(G2:G8)</f>
        <v>332556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124678</v>
      </c>
      <c r="D30" s="45">
        <f t="shared" si="2"/>
        <v>80442</v>
      </c>
      <c r="E30" s="45">
        <f t="shared" si="2"/>
        <v>81282</v>
      </c>
      <c r="F30" s="45">
        <f t="shared" si="2"/>
        <v>46154</v>
      </c>
      <c r="G30" s="45">
        <f t="shared" si="2"/>
        <v>332556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88</v>
      </c>
      <c r="D1" s="55" t="s">
        <v>89</v>
      </c>
      <c r="E1" s="48" t="s">
        <v>90</v>
      </c>
      <c r="F1" s="48" t="s">
        <v>91</v>
      </c>
      <c r="G1" s="3"/>
      <c r="I1" s="3"/>
    </row>
    <row r="2">
      <c r="A2" s="4" t="s">
        <v>4</v>
      </c>
      <c r="B2" s="5">
        <v>46174.0</v>
      </c>
      <c r="C2" s="6">
        <v>8597.0</v>
      </c>
      <c r="D2" s="6">
        <v>9456.0</v>
      </c>
      <c r="E2" s="6">
        <v>3757.0</v>
      </c>
      <c r="F2" s="6">
        <v>7627.0</v>
      </c>
      <c r="G2" s="7">
        <f t="shared" ref="G2:G29" si="1">SUM(C2+D2+E2+F2)</f>
        <v>29437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10491.0</v>
      </c>
      <c r="D3" s="6">
        <v>10797.0</v>
      </c>
      <c r="E3" s="6">
        <v>9165.0</v>
      </c>
      <c r="F3" s="6">
        <v>9457.0</v>
      </c>
      <c r="G3" s="7">
        <f t="shared" si="1"/>
        <v>39910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12298.0</v>
      </c>
      <c r="D4" s="6">
        <v>13196.0</v>
      </c>
      <c r="E4" s="6">
        <v>8954.0</v>
      </c>
      <c r="F4" s="49">
        <v>8682.0</v>
      </c>
      <c r="G4" s="7">
        <f t="shared" si="1"/>
        <v>43130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8386.0</v>
      </c>
      <c r="D5" s="6">
        <v>8838.0</v>
      </c>
      <c r="E5" s="6">
        <v>15573.0</v>
      </c>
      <c r="F5" s="49">
        <v>14868.0</v>
      </c>
      <c r="G5" s="7">
        <f t="shared" si="1"/>
        <v>47665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12484.0</v>
      </c>
      <c r="D6" s="6">
        <v>6371.0</v>
      </c>
      <c r="E6" s="6">
        <v>11248.0</v>
      </c>
      <c r="F6" s="49">
        <v>12002.0</v>
      </c>
      <c r="G6" s="7">
        <f t="shared" si="1"/>
        <v>42105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10946.0</v>
      </c>
      <c r="D7" s="6">
        <v>8915.0</v>
      </c>
      <c r="E7" s="6">
        <v>5453.0</v>
      </c>
      <c r="F7" s="49">
        <v>14363.0</v>
      </c>
      <c r="G7" s="7">
        <f t="shared" si="1"/>
        <v>39677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56">
        <v>10111.0</v>
      </c>
      <c r="D8" s="6">
        <v>12366.0</v>
      </c>
      <c r="E8" s="9"/>
      <c r="F8" s="49">
        <v>7238.0</v>
      </c>
      <c r="G8" s="7">
        <f t="shared" si="1"/>
        <v>29715</v>
      </c>
      <c r="H8" s="11" t="s">
        <v>5</v>
      </c>
      <c r="I8" s="12">
        <f>SUM(G2:G8)</f>
        <v>271639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73313</v>
      </c>
      <c r="D30" s="45">
        <f t="shared" si="2"/>
        <v>69939</v>
      </c>
      <c r="E30" s="45">
        <f t="shared" si="2"/>
        <v>54150</v>
      </c>
      <c r="F30" s="45">
        <f t="shared" si="2"/>
        <v>74237</v>
      </c>
      <c r="G30" s="45">
        <f t="shared" si="2"/>
        <v>271639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92</v>
      </c>
      <c r="D1" s="48" t="s">
        <v>93</v>
      </c>
      <c r="E1" s="48" t="s">
        <v>94</v>
      </c>
      <c r="F1" s="48" t="s">
        <v>95</v>
      </c>
      <c r="G1" s="3"/>
      <c r="I1" s="3"/>
    </row>
    <row r="2">
      <c r="A2" s="4" t="s">
        <v>4</v>
      </c>
      <c r="B2" s="5">
        <v>46174.0</v>
      </c>
      <c r="C2" s="6">
        <v>6528.0</v>
      </c>
      <c r="D2" s="6">
        <v>8964.0</v>
      </c>
      <c r="E2" s="6">
        <v>10092.0</v>
      </c>
      <c r="F2" s="6">
        <v>13650.0</v>
      </c>
      <c r="G2" s="7">
        <f t="shared" ref="G2:G29" si="1">SUM(C2+D2+E2+F2)</f>
        <v>39234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8896.0</v>
      </c>
      <c r="D3" s="6">
        <v>10165.0</v>
      </c>
      <c r="E3" s="6">
        <v>9880.0</v>
      </c>
      <c r="F3" s="6">
        <v>13324.0</v>
      </c>
      <c r="G3" s="7">
        <f t="shared" si="1"/>
        <v>42265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4886.0</v>
      </c>
      <c r="D4" s="6">
        <v>10558.0</v>
      </c>
      <c r="E4" s="6">
        <v>6771.0</v>
      </c>
      <c r="F4" s="49">
        <v>14567.0</v>
      </c>
      <c r="G4" s="7">
        <f t="shared" si="1"/>
        <v>36782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4767.0</v>
      </c>
      <c r="D5" s="6">
        <v>10057.0</v>
      </c>
      <c r="E5" s="6">
        <v>12827.0</v>
      </c>
      <c r="F5" s="49">
        <v>14539.0</v>
      </c>
      <c r="G5" s="7">
        <f t="shared" si="1"/>
        <v>42190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10899.0</v>
      </c>
      <c r="D6" s="6">
        <v>10145.0</v>
      </c>
      <c r="E6" s="6">
        <v>10978.0</v>
      </c>
      <c r="F6" s="49">
        <v>12187.0</v>
      </c>
      <c r="G6" s="7">
        <f t="shared" si="1"/>
        <v>44209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12555.0</v>
      </c>
      <c r="D7" s="6">
        <v>7108.0</v>
      </c>
      <c r="E7" s="6">
        <v>15611.0</v>
      </c>
      <c r="F7" s="49">
        <v>17525.0</v>
      </c>
      <c r="G7" s="7">
        <f t="shared" si="1"/>
        <v>52799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14453.0</v>
      </c>
      <c r="D8" s="6">
        <v>8620.0</v>
      </c>
      <c r="E8" s="49">
        <v>9518.0</v>
      </c>
      <c r="F8" s="49">
        <v>11091.0</v>
      </c>
      <c r="G8" s="7">
        <f t="shared" si="1"/>
        <v>43682</v>
      </c>
      <c r="H8" s="11" t="s">
        <v>5</v>
      </c>
      <c r="I8" s="12">
        <f>SUM(G2:G8)</f>
        <v>301161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62984</v>
      </c>
      <c r="D30" s="45">
        <f t="shared" si="2"/>
        <v>65617</v>
      </c>
      <c r="E30" s="45">
        <f t="shared" si="2"/>
        <v>75677</v>
      </c>
      <c r="F30" s="45">
        <f t="shared" si="2"/>
        <v>96883</v>
      </c>
      <c r="G30" s="45">
        <f t="shared" si="2"/>
        <v>301161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96</v>
      </c>
      <c r="D1" s="48" t="s">
        <v>97</v>
      </c>
      <c r="E1" s="48" t="s">
        <v>98</v>
      </c>
      <c r="F1" s="48" t="s">
        <v>99</v>
      </c>
      <c r="G1" s="3"/>
      <c r="I1" s="3"/>
    </row>
    <row r="2">
      <c r="A2" s="4" t="s">
        <v>4</v>
      </c>
      <c r="B2" s="5">
        <v>46174.0</v>
      </c>
      <c r="C2" s="6">
        <v>10150.0</v>
      </c>
      <c r="D2" s="6">
        <v>16364.0</v>
      </c>
      <c r="E2" s="6">
        <v>10184.0</v>
      </c>
      <c r="F2" s="6">
        <v>17465.0</v>
      </c>
      <c r="G2" s="7">
        <f t="shared" ref="G2:G29" si="1">SUM(C2+D2+E2+F2)</f>
        <v>54163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6424.0</v>
      </c>
      <c r="D3" s="6">
        <v>16274.0</v>
      </c>
      <c r="E3" s="6">
        <v>10233.0</v>
      </c>
      <c r="F3" s="6">
        <v>14044.0</v>
      </c>
      <c r="G3" s="7">
        <f t="shared" si="1"/>
        <v>46975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10217.0</v>
      </c>
      <c r="D4" s="6">
        <v>13423.0</v>
      </c>
      <c r="E4" s="6">
        <v>9278.0</v>
      </c>
      <c r="F4" s="49">
        <v>11454.0</v>
      </c>
      <c r="G4" s="7">
        <f t="shared" si="1"/>
        <v>44372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10020.0</v>
      </c>
      <c r="D5" s="6">
        <v>17728.0</v>
      </c>
      <c r="E5" s="6">
        <v>9000.0</v>
      </c>
      <c r="F5" s="49">
        <v>12126.0</v>
      </c>
      <c r="G5" s="7">
        <f t="shared" si="1"/>
        <v>48874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7653.0</v>
      </c>
      <c r="D6" s="6">
        <v>7707.0</v>
      </c>
      <c r="E6" s="6">
        <v>9583.0</v>
      </c>
      <c r="F6" s="49">
        <v>17117.0</v>
      </c>
      <c r="G6" s="7">
        <f t="shared" si="1"/>
        <v>42060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4757.0</v>
      </c>
      <c r="D7" s="6">
        <v>11921.0</v>
      </c>
      <c r="E7" s="6">
        <v>12092.0</v>
      </c>
      <c r="F7" s="49">
        <v>16242.0</v>
      </c>
      <c r="G7" s="7">
        <f t="shared" si="1"/>
        <v>45012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/>
      <c r="D8" s="6"/>
      <c r="E8" s="9"/>
      <c r="F8" s="9"/>
      <c r="G8" s="7">
        <f t="shared" si="1"/>
        <v>0</v>
      </c>
      <c r="H8" s="11" t="s">
        <v>5</v>
      </c>
      <c r="I8" s="12">
        <f>SUM(G2:G8)</f>
        <v>281456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49221</v>
      </c>
      <c r="D30" s="45">
        <f t="shared" si="2"/>
        <v>83417</v>
      </c>
      <c r="E30" s="45">
        <f t="shared" si="2"/>
        <v>60370</v>
      </c>
      <c r="F30" s="45">
        <f t="shared" si="2"/>
        <v>88448</v>
      </c>
      <c r="G30" s="45">
        <f t="shared" si="2"/>
        <v>281456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100</v>
      </c>
      <c r="D1" s="48" t="s">
        <v>101</v>
      </c>
      <c r="E1" s="48" t="s">
        <v>102</v>
      </c>
      <c r="F1" s="48" t="s">
        <v>103</v>
      </c>
      <c r="G1" s="3"/>
      <c r="I1" s="3"/>
    </row>
    <row r="2">
      <c r="A2" s="4" t="s">
        <v>4</v>
      </c>
      <c r="B2" s="5">
        <v>46174.0</v>
      </c>
      <c r="C2" s="6">
        <v>11615.0</v>
      </c>
      <c r="D2" s="6">
        <v>7162.0</v>
      </c>
      <c r="E2" s="6">
        <v>12482.0</v>
      </c>
      <c r="F2" s="6">
        <v>15074.0</v>
      </c>
      <c r="G2" s="7">
        <f t="shared" ref="G2:G29" si="1">SUM(C2+D2+E2+F2)</f>
        <v>46333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11678.0</v>
      </c>
      <c r="D3" s="6">
        <v>8461.0</v>
      </c>
      <c r="E3" s="6">
        <v>14246.0</v>
      </c>
      <c r="F3" s="6">
        <v>13782.0</v>
      </c>
      <c r="G3" s="7">
        <f t="shared" si="1"/>
        <v>48167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10826.0</v>
      </c>
      <c r="D4" s="6">
        <v>20003.0</v>
      </c>
      <c r="E4" s="6">
        <v>14118.0</v>
      </c>
      <c r="F4" s="49">
        <v>16441.0</v>
      </c>
      <c r="G4" s="7">
        <f t="shared" si="1"/>
        <v>61388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9732.0</v>
      </c>
      <c r="D5" s="6">
        <v>10116.0</v>
      </c>
      <c r="E5" s="6">
        <v>11037.0</v>
      </c>
      <c r="F5" s="49">
        <v>20760.0</v>
      </c>
      <c r="G5" s="7">
        <f t="shared" si="1"/>
        <v>51645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13960.0</v>
      </c>
      <c r="D6" s="6">
        <v>10003.0</v>
      </c>
      <c r="E6" s="6">
        <v>14319.0</v>
      </c>
      <c r="F6" s="49">
        <v>12441.0</v>
      </c>
      <c r="G6" s="7">
        <f t="shared" si="1"/>
        <v>50723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15005.0</v>
      </c>
      <c r="D7" s="6">
        <v>10001.0</v>
      </c>
      <c r="E7" s="6">
        <v>16056.0</v>
      </c>
      <c r="F7" s="49">
        <v>20392.0</v>
      </c>
      <c r="G7" s="7">
        <f t="shared" si="1"/>
        <v>61454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11147.0</v>
      </c>
      <c r="D8" s="6">
        <v>10017.0</v>
      </c>
      <c r="E8" s="49">
        <v>8279.0</v>
      </c>
      <c r="F8" s="49">
        <v>13306.0</v>
      </c>
      <c r="G8" s="7">
        <f t="shared" si="1"/>
        <v>42749</v>
      </c>
      <c r="H8" s="11" t="s">
        <v>5</v>
      </c>
      <c r="I8" s="12">
        <f>SUM(G2:G8)</f>
        <v>362459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83963</v>
      </c>
      <c r="D30" s="45">
        <f t="shared" si="2"/>
        <v>75763</v>
      </c>
      <c r="E30" s="45">
        <f t="shared" si="2"/>
        <v>90537</v>
      </c>
      <c r="F30" s="45">
        <f t="shared" si="2"/>
        <v>112196</v>
      </c>
      <c r="G30" s="45">
        <f t="shared" si="2"/>
        <v>362459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104</v>
      </c>
      <c r="D1" s="48" t="s">
        <v>105</v>
      </c>
      <c r="E1" s="48" t="s">
        <v>106</v>
      </c>
      <c r="F1" s="48" t="s">
        <v>107</v>
      </c>
      <c r="G1" s="3"/>
      <c r="I1" s="3"/>
    </row>
    <row r="2">
      <c r="A2" s="4" t="s">
        <v>4</v>
      </c>
      <c r="B2" s="5">
        <v>46174.0</v>
      </c>
      <c r="C2" s="6">
        <v>7088.0</v>
      </c>
      <c r="D2" s="6">
        <v>11545.0</v>
      </c>
      <c r="E2" s="6">
        <v>10295.0</v>
      </c>
      <c r="F2" s="6">
        <v>18912.0</v>
      </c>
      <c r="G2" s="7">
        <f t="shared" ref="G2:G29" si="1">SUM(C2+D2+E2+F2)</f>
        <v>47840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5200.0</v>
      </c>
      <c r="D3" s="6">
        <v>15514.0</v>
      </c>
      <c r="E3" s="6">
        <v>11131.0</v>
      </c>
      <c r="F3" s="6">
        <v>17096.0</v>
      </c>
      <c r="G3" s="7">
        <f t="shared" si="1"/>
        <v>48941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4048.0</v>
      </c>
      <c r="D4" s="6">
        <v>12533.0</v>
      </c>
      <c r="E4" s="6">
        <v>12218.0</v>
      </c>
      <c r="F4" s="49">
        <v>12089.0</v>
      </c>
      <c r="G4" s="7">
        <f t="shared" si="1"/>
        <v>40888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4810.0</v>
      </c>
      <c r="D5" s="6">
        <v>9909.0</v>
      </c>
      <c r="E5" s="6">
        <v>12203.0</v>
      </c>
      <c r="F5" s="49">
        <v>20045.0</v>
      </c>
      <c r="G5" s="7">
        <f t="shared" si="1"/>
        <v>46967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6920.0</v>
      </c>
      <c r="D6" s="6">
        <v>9473.0</v>
      </c>
      <c r="E6" s="6">
        <v>12622.0</v>
      </c>
      <c r="F6" s="49">
        <v>12703.0</v>
      </c>
      <c r="G6" s="7">
        <f t="shared" si="1"/>
        <v>41718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2663.0</v>
      </c>
      <c r="D7" s="6">
        <v>10305.0</v>
      </c>
      <c r="E7" s="6">
        <v>10805.0</v>
      </c>
      <c r="F7" s="49">
        <v>16831.0</v>
      </c>
      <c r="G7" s="7">
        <f t="shared" si="1"/>
        <v>40604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2343.0</v>
      </c>
      <c r="D8" s="6"/>
      <c r="E8" s="49">
        <v>5434.0</v>
      </c>
      <c r="F8" s="9"/>
      <c r="G8" s="7">
        <f t="shared" si="1"/>
        <v>7777</v>
      </c>
      <c r="H8" s="11" t="s">
        <v>5</v>
      </c>
      <c r="I8" s="12">
        <f>SUM(G2:G8)</f>
        <v>274735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33072</v>
      </c>
      <c r="D30" s="45">
        <f t="shared" si="2"/>
        <v>69279</v>
      </c>
      <c r="E30" s="45">
        <f t="shared" si="2"/>
        <v>74708</v>
      </c>
      <c r="F30" s="45">
        <f t="shared" si="2"/>
        <v>97676</v>
      </c>
      <c r="G30" s="45">
        <f t="shared" si="2"/>
        <v>274735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108</v>
      </c>
      <c r="D1" s="48" t="s">
        <v>109</v>
      </c>
      <c r="E1" s="48" t="s">
        <v>110</v>
      </c>
      <c r="F1" s="48" t="s">
        <v>111</v>
      </c>
      <c r="G1" s="3"/>
      <c r="I1" s="3"/>
    </row>
    <row r="2">
      <c r="A2" s="4" t="s">
        <v>4</v>
      </c>
      <c r="B2" s="5">
        <v>46174.0</v>
      </c>
      <c r="C2" s="6">
        <v>11681.0</v>
      </c>
      <c r="D2" s="6">
        <v>7312.0</v>
      </c>
      <c r="E2" s="6">
        <v>13158.0</v>
      </c>
      <c r="F2" s="6">
        <v>16117.0</v>
      </c>
      <c r="G2" s="7">
        <f t="shared" ref="G2:G29" si="1">SUM(C2+D2+E2+F2)</f>
        <v>48268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12168.0</v>
      </c>
      <c r="D3" s="6">
        <v>10476.0</v>
      </c>
      <c r="E3" s="6">
        <v>12060.0</v>
      </c>
      <c r="F3" s="6">
        <v>15708.0</v>
      </c>
      <c r="G3" s="7">
        <f t="shared" si="1"/>
        <v>50412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7019.0</v>
      </c>
      <c r="D4" s="6">
        <v>8401.0</v>
      </c>
      <c r="E4" s="6">
        <v>19111.0</v>
      </c>
      <c r="F4" s="49">
        <v>14491.0</v>
      </c>
      <c r="G4" s="7">
        <f t="shared" si="1"/>
        <v>49022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9579.0</v>
      </c>
      <c r="D5" s="6">
        <v>13518.0</v>
      </c>
      <c r="E5" s="6">
        <v>13236.0</v>
      </c>
      <c r="F5" s="49">
        <v>10762.0</v>
      </c>
      <c r="G5" s="7">
        <f t="shared" si="1"/>
        <v>47095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9265.0</v>
      </c>
      <c r="D6" s="6">
        <v>9481.0</v>
      </c>
      <c r="E6" s="6">
        <v>9210.0</v>
      </c>
      <c r="F6" s="49">
        <v>13719.0</v>
      </c>
      <c r="G6" s="7">
        <f t="shared" si="1"/>
        <v>41675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11698.0</v>
      </c>
      <c r="D7" s="6">
        <v>5829.0</v>
      </c>
      <c r="E7" s="6">
        <v>13211.0</v>
      </c>
      <c r="F7" s="49">
        <v>13321.0</v>
      </c>
      <c r="G7" s="7">
        <f t="shared" si="1"/>
        <v>44059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/>
      <c r="D8" s="6"/>
      <c r="E8" s="49">
        <v>12953.0</v>
      </c>
      <c r="F8" s="9"/>
      <c r="G8" s="7">
        <f t="shared" si="1"/>
        <v>12953</v>
      </c>
      <c r="H8" s="11" t="s">
        <v>5</v>
      </c>
      <c r="I8" s="12">
        <f>SUM(G2:G8)</f>
        <v>293484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61410</v>
      </c>
      <c r="D30" s="45">
        <f t="shared" si="2"/>
        <v>55017</v>
      </c>
      <c r="E30" s="45">
        <f t="shared" si="2"/>
        <v>92939</v>
      </c>
      <c r="F30" s="45">
        <f t="shared" si="2"/>
        <v>84118</v>
      </c>
      <c r="G30" s="45">
        <f t="shared" si="2"/>
        <v>293484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25"/>
    <col customWidth="1" min="3" max="3" width="15.25"/>
    <col customWidth="1" min="4" max="4" width="15.38"/>
    <col customWidth="1" min="5" max="5" width="13.75"/>
    <col customWidth="1" min="6" max="6" width="15.88"/>
    <col customWidth="1" min="7" max="7" width="13.75"/>
    <col customWidth="1" min="8" max="9" width="10.63"/>
    <col customWidth="1" min="10" max="26" width="8.63"/>
  </cols>
  <sheetData>
    <row r="1">
      <c r="C1" s="47" t="s">
        <v>112</v>
      </c>
      <c r="D1" s="48" t="s">
        <v>113</v>
      </c>
      <c r="E1" s="48" t="s">
        <v>114</v>
      </c>
      <c r="F1" s="48" t="s">
        <v>115</v>
      </c>
      <c r="G1" s="3"/>
      <c r="I1" s="3"/>
    </row>
    <row r="2">
      <c r="A2" s="4" t="s">
        <v>4</v>
      </c>
      <c r="B2" s="5">
        <v>46174.0</v>
      </c>
      <c r="C2" s="6">
        <v>14347.0</v>
      </c>
      <c r="D2" s="6">
        <v>14297.0</v>
      </c>
      <c r="E2" s="6"/>
      <c r="F2" s="6">
        <v>9195.0</v>
      </c>
      <c r="G2" s="7">
        <f t="shared" ref="G2:G29" si="1">SUM(C2+D2+E2+F2)</f>
        <v>37839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5">
        <v>46175.0</v>
      </c>
      <c r="C3" s="6">
        <v>13687.0</v>
      </c>
      <c r="D3" s="6">
        <v>12993.0</v>
      </c>
      <c r="E3" s="6">
        <v>1686.0</v>
      </c>
      <c r="F3" s="6">
        <v>13273.0</v>
      </c>
      <c r="G3" s="7">
        <f t="shared" si="1"/>
        <v>41639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5">
        <v>46176.0</v>
      </c>
      <c r="C4" s="6">
        <v>4262.0</v>
      </c>
      <c r="D4" s="6">
        <v>15030.0</v>
      </c>
      <c r="E4" s="6">
        <v>10710.0</v>
      </c>
      <c r="F4" s="6">
        <v>13272.0</v>
      </c>
      <c r="G4" s="7">
        <f t="shared" si="1"/>
        <v>43274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/>
      <c r="B5" s="5">
        <v>46177.0</v>
      </c>
      <c r="C5" s="6">
        <v>10781.0</v>
      </c>
      <c r="D5" s="6">
        <v>18749.0</v>
      </c>
      <c r="E5" s="6">
        <v>13282.0</v>
      </c>
      <c r="F5" s="6">
        <v>15242.0</v>
      </c>
      <c r="G5" s="7">
        <f t="shared" si="1"/>
        <v>58054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5">
        <v>46178.0</v>
      </c>
      <c r="C6" s="6">
        <v>13089.0</v>
      </c>
      <c r="D6" s="6">
        <v>17114.0</v>
      </c>
      <c r="E6" s="6">
        <v>8008.0</v>
      </c>
      <c r="F6" s="6">
        <v>13329.0</v>
      </c>
      <c r="G6" s="7">
        <f t="shared" si="1"/>
        <v>51540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5">
        <v>46179.0</v>
      </c>
      <c r="C7" s="6">
        <v>14922.0</v>
      </c>
      <c r="D7" s="6">
        <v>23309.0</v>
      </c>
      <c r="E7" s="6">
        <v>10939.0</v>
      </c>
      <c r="F7" s="6">
        <v>3754.0</v>
      </c>
      <c r="G7" s="7">
        <f t="shared" si="1"/>
        <v>52924</v>
      </c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5">
        <v>46180.0</v>
      </c>
      <c r="C8" s="6">
        <v>11817.0</v>
      </c>
      <c r="D8" s="6">
        <v>8090.0</v>
      </c>
      <c r="E8" s="6">
        <v>10439.0</v>
      </c>
      <c r="F8" s="6">
        <v>4277.0</v>
      </c>
      <c r="G8" s="7">
        <f t="shared" si="1"/>
        <v>34623</v>
      </c>
      <c r="H8" s="11" t="s">
        <v>5</v>
      </c>
      <c r="I8" s="12">
        <f>SUM(G2:G8)</f>
        <v>319893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6</v>
      </c>
      <c r="B9" s="14">
        <v>46181.0</v>
      </c>
      <c r="C9" s="15"/>
      <c r="D9" s="16"/>
      <c r="E9" s="15"/>
      <c r="F9" s="15"/>
      <c r="G9" s="17">
        <f t="shared" si="1"/>
        <v>0</v>
      </c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/>
      <c r="B10" s="14">
        <v>46182.0</v>
      </c>
      <c r="C10" s="19"/>
      <c r="D10" s="19"/>
      <c r="E10" s="20"/>
      <c r="F10" s="20"/>
      <c r="G10" s="17">
        <f t="shared" si="1"/>
        <v>0</v>
      </c>
      <c r="H10" s="21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"/>
      <c r="B11" s="14">
        <v>46183.0</v>
      </c>
      <c r="C11" s="20"/>
      <c r="D11" s="20"/>
      <c r="E11" s="20"/>
      <c r="F11" s="20"/>
      <c r="G11" s="17">
        <f t="shared" si="1"/>
        <v>0</v>
      </c>
      <c r="H11" s="21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"/>
      <c r="B12" s="14">
        <v>46184.0</v>
      </c>
      <c r="C12" s="20"/>
      <c r="D12" s="20"/>
      <c r="E12" s="20"/>
      <c r="F12" s="20"/>
      <c r="G12" s="17">
        <f t="shared" si="1"/>
        <v>0</v>
      </c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4">
        <v>46185.0</v>
      </c>
      <c r="C13" s="20"/>
      <c r="D13" s="20"/>
      <c r="E13" s="20"/>
      <c r="F13" s="20"/>
      <c r="G13" s="17">
        <f t="shared" si="1"/>
        <v>0</v>
      </c>
      <c r="H13" s="21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14">
        <v>46186.0</v>
      </c>
      <c r="C14" s="20"/>
      <c r="D14" s="20"/>
      <c r="E14" s="20"/>
      <c r="F14" s="19"/>
      <c r="G14" s="17">
        <f t="shared" si="1"/>
        <v>0</v>
      </c>
      <c r="H14" s="21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"/>
      <c r="B15" s="14">
        <v>46187.0</v>
      </c>
      <c r="C15" s="20"/>
      <c r="D15" s="20"/>
      <c r="E15" s="20"/>
      <c r="F15" s="20"/>
      <c r="G15" s="17">
        <f t="shared" si="1"/>
        <v>0</v>
      </c>
      <c r="H15" s="22" t="s">
        <v>5</v>
      </c>
      <c r="I15" s="23">
        <f>SUM(G9:G15)</f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4" t="s">
        <v>7</v>
      </c>
      <c r="B16" s="25">
        <v>46188.0</v>
      </c>
      <c r="C16" s="26"/>
      <c r="D16" s="26"/>
      <c r="E16" s="26"/>
      <c r="F16" s="26"/>
      <c r="G16" s="27">
        <f t="shared" si="1"/>
        <v>0</v>
      </c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/>
      <c r="B17" s="25">
        <v>46189.0</v>
      </c>
      <c r="C17" s="30"/>
      <c r="D17" s="30"/>
      <c r="E17" s="30"/>
      <c r="F17" s="31"/>
      <c r="G17" s="27">
        <f t="shared" si="1"/>
        <v>0</v>
      </c>
      <c r="H17" s="28"/>
      <c r="I17" s="3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"/>
      <c r="B18" s="25">
        <v>46190.0</v>
      </c>
      <c r="C18" s="30"/>
      <c r="D18" s="30"/>
      <c r="E18" s="30"/>
      <c r="F18" s="30"/>
      <c r="G18" s="27">
        <f t="shared" si="1"/>
        <v>0</v>
      </c>
      <c r="H18" s="28"/>
      <c r="I18" s="3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"/>
      <c r="B19" s="25">
        <v>46191.0</v>
      </c>
      <c r="C19" s="30"/>
      <c r="D19" s="30"/>
      <c r="E19" s="30"/>
      <c r="F19" s="30"/>
      <c r="G19" s="27">
        <f t="shared" si="1"/>
        <v>0</v>
      </c>
      <c r="H19" s="28"/>
      <c r="I19" s="3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"/>
      <c r="B20" s="25">
        <v>46192.0</v>
      </c>
      <c r="C20" s="30"/>
      <c r="D20" s="30"/>
      <c r="E20" s="31"/>
      <c r="F20" s="30"/>
      <c r="G20" s="27">
        <f t="shared" si="1"/>
        <v>0</v>
      </c>
      <c r="H20" s="28"/>
      <c r="I20" s="3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"/>
      <c r="B21" s="25">
        <v>46193.0</v>
      </c>
      <c r="C21" s="30"/>
      <c r="D21" s="30"/>
      <c r="E21" s="30"/>
      <c r="F21" s="30"/>
      <c r="G21" s="27">
        <f t="shared" si="1"/>
        <v>0</v>
      </c>
      <c r="H21" s="28"/>
      <c r="I21" s="3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0"/>
      <c r="B22" s="25">
        <v>46194.0</v>
      </c>
      <c r="C22" s="30"/>
      <c r="D22" s="30"/>
      <c r="E22" s="30"/>
      <c r="F22" s="30"/>
      <c r="G22" s="27">
        <f t="shared" si="1"/>
        <v>0</v>
      </c>
      <c r="H22" s="32" t="s">
        <v>5</v>
      </c>
      <c r="I22" s="27">
        <f>SUM(G16:G22)</f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3" t="s">
        <v>8</v>
      </c>
      <c r="B23" s="34">
        <v>46195.0</v>
      </c>
      <c r="C23" s="35"/>
      <c r="D23" s="35"/>
      <c r="E23" s="36"/>
      <c r="F23" s="36"/>
      <c r="G23" s="37">
        <f t="shared" si="1"/>
        <v>0</v>
      </c>
      <c r="H23" s="38"/>
      <c r="I23" s="3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0"/>
      <c r="B24" s="34">
        <v>46196.0</v>
      </c>
      <c r="C24" s="40"/>
      <c r="D24" s="40"/>
      <c r="E24" s="40"/>
      <c r="F24" s="40"/>
      <c r="G24" s="39">
        <f t="shared" si="1"/>
        <v>0</v>
      </c>
      <c r="H24" s="41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0"/>
      <c r="B25" s="34">
        <v>46197.0</v>
      </c>
      <c r="C25" s="40"/>
      <c r="D25" s="40"/>
      <c r="E25" s="42"/>
      <c r="F25" s="40"/>
      <c r="G25" s="39">
        <f t="shared" si="1"/>
        <v>0</v>
      </c>
      <c r="H25" s="41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0"/>
      <c r="B26" s="34">
        <v>46198.0</v>
      </c>
      <c r="C26" s="40"/>
      <c r="D26" s="40"/>
      <c r="E26" s="40"/>
      <c r="F26" s="40"/>
      <c r="G26" s="39">
        <f t="shared" si="1"/>
        <v>0</v>
      </c>
      <c r="H26" s="41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0"/>
      <c r="B27" s="34">
        <v>46199.0</v>
      </c>
      <c r="C27" s="40"/>
      <c r="D27" s="40"/>
      <c r="E27" s="40"/>
      <c r="F27" s="40"/>
      <c r="G27" s="39">
        <f t="shared" si="1"/>
        <v>0</v>
      </c>
      <c r="H27" s="41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0"/>
      <c r="B28" s="34">
        <v>46200.0</v>
      </c>
      <c r="C28" s="40"/>
      <c r="D28" s="40"/>
      <c r="E28" s="40"/>
      <c r="F28" s="40"/>
      <c r="G28" s="39">
        <f t="shared" si="1"/>
        <v>0</v>
      </c>
      <c r="H28" s="4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0"/>
      <c r="B29" s="34">
        <v>46201.0</v>
      </c>
      <c r="C29" s="40"/>
      <c r="D29" s="40"/>
      <c r="E29" s="40"/>
      <c r="F29" s="40"/>
      <c r="G29" s="39">
        <f t="shared" si="1"/>
        <v>0</v>
      </c>
      <c r="H29" s="43" t="s">
        <v>5</v>
      </c>
      <c r="I29" s="44">
        <f>SUM(G23:G29)</f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5"/>
      <c r="B30" s="45"/>
      <c r="C30" s="45">
        <f t="shared" ref="C30:G30" si="2">SUM(C2:C29)</f>
        <v>82905</v>
      </c>
      <c r="D30" s="45">
        <f t="shared" si="2"/>
        <v>109582</v>
      </c>
      <c r="E30" s="45">
        <f t="shared" si="2"/>
        <v>55064</v>
      </c>
      <c r="F30" s="45">
        <f t="shared" si="2"/>
        <v>72342</v>
      </c>
      <c r="G30" s="45">
        <f t="shared" si="2"/>
        <v>319893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C31" s="46" t="s">
        <v>9</v>
      </c>
      <c r="D31" s="46" t="s">
        <v>10</v>
      </c>
      <c r="E31" s="46" t="s">
        <v>11</v>
      </c>
      <c r="F31" s="46" t="s">
        <v>12</v>
      </c>
      <c r="G31" s="46" t="s">
        <v>13</v>
      </c>
      <c r="I31" s="3"/>
    </row>
    <row r="32" ht="15.75" customHeight="1">
      <c r="C32" s="3"/>
      <c r="D32" s="3"/>
      <c r="E32" s="3"/>
      <c r="F32" s="3"/>
      <c r="G32" s="3"/>
      <c r="I32" s="3"/>
    </row>
    <row r="33" ht="15.75" customHeight="1">
      <c r="C33" s="3"/>
      <c r="D33" s="3"/>
      <c r="E33" s="3"/>
      <c r="F33" s="3"/>
      <c r="G33" s="3"/>
      <c r="I33" s="3"/>
    </row>
    <row r="34" ht="15.75" customHeight="1">
      <c r="C34" s="3"/>
      <c r="D34" s="3"/>
      <c r="E34" s="3"/>
      <c r="F34" s="3"/>
      <c r="G34" s="3"/>
      <c r="I34" s="3"/>
    </row>
    <row r="35" ht="15.75" customHeight="1">
      <c r="C35" s="3"/>
      <c r="D35" s="3"/>
      <c r="E35" s="3"/>
      <c r="F35" s="3"/>
      <c r="G35" s="3"/>
      <c r="I35" s="3"/>
    </row>
    <row r="36" ht="15.75" customHeight="1">
      <c r="C36" s="3"/>
      <c r="D36" s="3"/>
      <c r="E36" s="3"/>
      <c r="F36" s="3"/>
      <c r="G36" s="3"/>
      <c r="I36" s="3"/>
    </row>
    <row r="37" ht="15.75" customHeight="1">
      <c r="C37" s="3"/>
      <c r="D37" s="3"/>
      <c r="E37" s="3"/>
      <c r="F37" s="3"/>
      <c r="G37" s="3"/>
      <c r="I37" s="3"/>
    </row>
    <row r="38" ht="15.75" customHeight="1">
      <c r="C38" s="3"/>
      <c r="D38" s="3"/>
      <c r="E38" s="3"/>
      <c r="F38" s="3"/>
      <c r="G38" s="3"/>
      <c r="I38" s="3"/>
    </row>
    <row r="39" ht="15.75" customHeight="1">
      <c r="C39" s="3"/>
      <c r="D39" s="3"/>
      <c r="E39" s="3"/>
      <c r="F39" s="3"/>
      <c r="G39" s="3"/>
      <c r="I39" s="3"/>
    </row>
    <row r="40" ht="15.75" customHeight="1">
      <c r="C40" s="3"/>
      <c r="D40" s="3"/>
      <c r="E40" s="3"/>
      <c r="F40" s="3"/>
      <c r="G40" s="3"/>
      <c r="I40" s="3"/>
    </row>
    <row r="41" ht="15.75" customHeight="1">
      <c r="C41" s="3"/>
      <c r="D41" s="3"/>
      <c r="E41" s="3"/>
      <c r="F41" s="3"/>
      <c r="G41" s="3"/>
      <c r="I41" s="3"/>
    </row>
    <row r="42" ht="15.75" customHeight="1">
      <c r="C42" s="3"/>
      <c r="D42" s="3"/>
      <c r="E42" s="3"/>
      <c r="F42" s="3"/>
      <c r="G42" s="3"/>
      <c r="I42" s="3"/>
    </row>
    <row r="43" ht="15.75" customHeight="1">
      <c r="C43" s="3"/>
      <c r="D43" s="3"/>
      <c r="E43" s="3"/>
      <c r="F43" s="3"/>
      <c r="G43" s="3"/>
      <c r="I43" s="3"/>
    </row>
    <row r="44" ht="15.75" customHeight="1">
      <c r="C44" s="3"/>
      <c r="D44" s="3"/>
      <c r="E44" s="3"/>
      <c r="F44" s="3"/>
      <c r="G44" s="3"/>
      <c r="I44" s="3"/>
    </row>
    <row r="45" ht="15.75" customHeight="1">
      <c r="C45" s="3"/>
      <c r="D45" s="3"/>
      <c r="E45" s="3"/>
      <c r="F45" s="3"/>
      <c r="G45" s="3"/>
      <c r="I45" s="3"/>
    </row>
    <row r="46" ht="15.75" customHeight="1">
      <c r="C46" s="3"/>
      <c r="D46" s="3"/>
      <c r="E46" s="3"/>
      <c r="F46" s="3"/>
      <c r="G46" s="3"/>
      <c r="I46" s="3"/>
    </row>
    <row r="47" ht="15.75" customHeight="1">
      <c r="C47" s="3"/>
      <c r="D47" s="3"/>
      <c r="E47" s="3"/>
      <c r="F47" s="3"/>
      <c r="G47" s="3"/>
      <c r="I47" s="3"/>
    </row>
    <row r="48" ht="15.75" customHeight="1">
      <c r="C48" s="3"/>
      <c r="D48" s="3"/>
      <c r="E48" s="3"/>
      <c r="F48" s="3"/>
      <c r="G48" s="3"/>
      <c r="I48" s="3"/>
    </row>
    <row r="49" ht="15.75" customHeight="1">
      <c r="C49" s="3"/>
      <c r="D49" s="3"/>
      <c r="E49" s="3"/>
      <c r="F49" s="3"/>
      <c r="G49" s="3"/>
      <c r="I49" s="3"/>
    </row>
    <row r="50" ht="15.75" customHeight="1">
      <c r="C50" s="3"/>
      <c r="D50" s="3"/>
      <c r="E50" s="3"/>
      <c r="F50" s="3"/>
      <c r="G50" s="3"/>
      <c r="I50" s="3"/>
    </row>
    <row r="51" ht="15.75" customHeight="1">
      <c r="C51" s="3"/>
      <c r="D51" s="3"/>
      <c r="E51" s="3"/>
      <c r="F51" s="3"/>
      <c r="G51" s="3"/>
      <c r="I51" s="3"/>
    </row>
    <row r="52" ht="15.75" customHeight="1">
      <c r="C52" s="3"/>
      <c r="D52" s="3"/>
      <c r="E52" s="3"/>
      <c r="F52" s="3"/>
      <c r="G52" s="3"/>
      <c r="I52" s="3"/>
    </row>
    <row r="53" ht="15.75" customHeight="1">
      <c r="C53" s="3"/>
      <c r="D53" s="3"/>
      <c r="E53" s="3"/>
      <c r="F53" s="3"/>
      <c r="G53" s="3"/>
      <c r="I53" s="3"/>
    </row>
    <row r="54" ht="15.75" customHeight="1">
      <c r="C54" s="3"/>
      <c r="D54" s="3"/>
      <c r="E54" s="3"/>
      <c r="F54" s="3"/>
      <c r="G54" s="3"/>
      <c r="I54" s="3"/>
    </row>
    <row r="55" ht="15.75" customHeight="1">
      <c r="C55" s="3"/>
      <c r="D55" s="3"/>
      <c r="E55" s="3"/>
      <c r="F55" s="3"/>
      <c r="G55" s="3"/>
      <c r="I55" s="3"/>
    </row>
    <row r="56" ht="15.75" customHeight="1">
      <c r="C56" s="3"/>
      <c r="D56" s="3"/>
      <c r="E56" s="3"/>
      <c r="F56" s="3"/>
      <c r="G56" s="3"/>
      <c r="I56" s="3"/>
    </row>
    <row r="57" ht="15.75" customHeight="1">
      <c r="C57" s="3"/>
      <c r="D57" s="3"/>
      <c r="E57" s="3"/>
      <c r="F57" s="3"/>
      <c r="G57" s="3"/>
      <c r="I57" s="3"/>
    </row>
    <row r="58" ht="15.75" customHeight="1">
      <c r="C58" s="3"/>
      <c r="D58" s="3"/>
      <c r="E58" s="3"/>
      <c r="F58" s="3"/>
      <c r="G58" s="3"/>
      <c r="I58" s="3"/>
    </row>
    <row r="59" ht="15.75" customHeight="1">
      <c r="C59" s="3"/>
      <c r="D59" s="3"/>
      <c r="E59" s="3"/>
      <c r="F59" s="3"/>
      <c r="G59" s="3"/>
      <c r="I59" s="3"/>
    </row>
    <row r="60" ht="15.75" customHeight="1">
      <c r="C60" s="3"/>
      <c r="D60" s="3"/>
      <c r="E60" s="3"/>
      <c r="F60" s="3"/>
      <c r="G60" s="3"/>
      <c r="I60" s="3"/>
    </row>
    <row r="61" ht="15.75" customHeight="1">
      <c r="C61" s="3"/>
      <c r="D61" s="3"/>
      <c r="E61" s="3"/>
      <c r="F61" s="3"/>
      <c r="G61" s="3"/>
      <c r="I61" s="3"/>
    </row>
    <row r="62" ht="15.75" customHeight="1">
      <c r="C62" s="3"/>
      <c r="D62" s="3"/>
      <c r="E62" s="3"/>
      <c r="F62" s="3"/>
      <c r="G62" s="3"/>
      <c r="I62" s="3"/>
    </row>
    <row r="63" ht="15.75" customHeight="1">
      <c r="C63" s="3"/>
      <c r="D63" s="3"/>
      <c r="E63" s="3"/>
      <c r="F63" s="3"/>
      <c r="G63" s="3"/>
      <c r="I63" s="3"/>
    </row>
    <row r="64" ht="15.75" customHeight="1">
      <c r="C64" s="3"/>
      <c r="D64" s="3"/>
      <c r="E64" s="3"/>
      <c r="F64" s="3"/>
      <c r="G64" s="3"/>
      <c r="I64" s="3"/>
    </row>
    <row r="65" ht="15.75" customHeight="1">
      <c r="C65" s="3"/>
      <c r="D65" s="3"/>
      <c r="E65" s="3"/>
      <c r="F65" s="3"/>
      <c r="G65" s="3"/>
      <c r="I65" s="3"/>
    </row>
    <row r="66" ht="15.75" customHeight="1">
      <c r="C66" s="3"/>
      <c r="D66" s="3"/>
      <c r="E66" s="3"/>
      <c r="F66" s="3"/>
      <c r="G66" s="3"/>
      <c r="I66" s="3"/>
    </row>
    <row r="67" ht="15.75" c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c r="E68" s="3"/>
      <c r="F68" s="3"/>
      <c r="G68" s="3"/>
      <c r="I68" s="3"/>
    </row>
    <row r="69" ht="15.75" customHeight="1">
      <c r="C69" s="3"/>
      <c r="D69" s="3"/>
      <c r="E69" s="3"/>
      <c r="F69" s="3"/>
      <c r="G69" s="3"/>
      <c r="I69" s="3"/>
    </row>
    <row r="70" ht="15.75" customHeight="1">
      <c r="C70" s="3"/>
      <c r="D70" s="3"/>
      <c r="E70" s="3"/>
      <c r="F70" s="3"/>
      <c r="G70" s="3"/>
      <c r="I70" s="3"/>
    </row>
    <row r="71" ht="15.75" customHeight="1">
      <c r="C71" s="3"/>
      <c r="D71" s="3"/>
      <c r="E71" s="3"/>
      <c r="F71" s="3"/>
      <c r="G71" s="3"/>
      <c r="I71" s="3"/>
    </row>
    <row r="72" ht="15.75" customHeight="1">
      <c r="C72" s="3"/>
      <c r="D72" s="3"/>
      <c r="E72" s="3"/>
      <c r="F72" s="3"/>
      <c r="G72" s="3"/>
      <c r="I72" s="3"/>
    </row>
    <row r="73" ht="15.75" customHeight="1">
      <c r="C73" s="3"/>
      <c r="D73" s="3"/>
      <c r="E73" s="3"/>
      <c r="F73" s="3"/>
      <c r="G73" s="3"/>
      <c r="I73" s="3"/>
    </row>
    <row r="74" ht="15.75" customHeight="1">
      <c r="C74" s="3"/>
      <c r="D74" s="3"/>
      <c r="E74" s="3"/>
      <c r="F74" s="3"/>
      <c r="G74" s="3"/>
      <c r="I74" s="3"/>
    </row>
    <row r="75" ht="15.75" customHeight="1">
      <c r="C75" s="3"/>
      <c r="D75" s="3"/>
      <c r="E75" s="3"/>
      <c r="F75" s="3"/>
      <c r="G75" s="3"/>
      <c r="I75" s="3"/>
    </row>
    <row r="76" ht="15.75" customHeight="1">
      <c r="C76" s="3"/>
      <c r="D76" s="3"/>
      <c r="E76" s="3"/>
      <c r="F76" s="3"/>
      <c r="G76" s="3"/>
      <c r="I76" s="3"/>
    </row>
    <row r="77" ht="15.75" customHeight="1">
      <c r="C77" s="3"/>
      <c r="D77" s="3"/>
      <c r="E77" s="3"/>
      <c r="F77" s="3"/>
      <c r="G77" s="3"/>
      <c r="I77" s="3"/>
    </row>
    <row r="78" ht="15.75" customHeight="1">
      <c r="C78" s="3"/>
      <c r="D78" s="3"/>
      <c r="E78" s="3"/>
      <c r="F78" s="3"/>
      <c r="G78" s="3"/>
      <c r="I78" s="3"/>
    </row>
    <row r="79" ht="15.75" customHeight="1">
      <c r="C79" s="3"/>
      <c r="D79" s="3"/>
      <c r="E79" s="3"/>
      <c r="F79" s="3"/>
      <c r="G79" s="3"/>
      <c r="I79" s="3"/>
    </row>
    <row r="80" ht="15.75" customHeight="1">
      <c r="C80" s="3"/>
      <c r="D80" s="3"/>
      <c r="E80" s="3"/>
      <c r="F80" s="3"/>
      <c r="G80" s="3"/>
      <c r="I80" s="3"/>
    </row>
    <row r="81" ht="15.75" customHeight="1">
      <c r="C81" s="3"/>
      <c r="D81" s="3"/>
      <c r="E81" s="3"/>
      <c r="F81" s="3"/>
      <c r="G81" s="3"/>
      <c r="I81" s="3"/>
    </row>
    <row r="82" ht="15.75" customHeight="1">
      <c r="C82" s="3"/>
      <c r="D82" s="3"/>
      <c r="E82" s="3"/>
      <c r="F82" s="3"/>
      <c r="G82" s="3"/>
      <c r="I82" s="3"/>
    </row>
    <row r="83" ht="15.75" customHeight="1">
      <c r="C83" s="3"/>
      <c r="D83" s="3"/>
      <c r="E83" s="3"/>
      <c r="F83" s="3"/>
      <c r="G83" s="3"/>
      <c r="I83" s="3"/>
    </row>
    <row r="84" ht="15.75" customHeight="1">
      <c r="C84" s="3"/>
      <c r="D84" s="3"/>
      <c r="E84" s="3"/>
      <c r="F84" s="3"/>
      <c r="G84" s="3"/>
      <c r="I84" s="3"/>
    </row>
    <row r="85" ht="15.75" customHeight="1">
      <c r="C85" s="3"/>
      <c r="D85" s="3"/>
      <c r="E85" s="3"/>
      <c r="F85" s="3"/>
      <c r="G85" s="3"/>
      <c r="I85" s="3"/>
    </row>
    <row r="86" ht="15.75" customHeight="1">
      <c r="C86" s="3"/>
      <c r="D86" s="3"/>
      <c r="E86" s="3"/>
      <c r="F86" s="3"/>
      <c r="G86" s="3"/>
      <c r="I86" s="3"/>
    </row>
    <row r="87" ht="15.75" customHeight="1">
      <c r="C87" s="3"/>
      <c r="D87" s="3"/>
      <c r="E87" s="3"/>
      <c r="F87" s="3"/>
      <c r="G87" s="3"/>
      <c r="I87" s="3"/>
    </row>
    <row r="88" ht="15.75" customHeight="1">
      <c r="C88" s="3"/>
      <c r="D88" s="3"/>
      <c r="E88" s="3"/>
      <c r="F88" s="3"/>
      <c r="G88" s="3"/>
      <c r="I88" s="3"/>
    </row>
    <row r="89" ht="15.75" customHeight="1">
      <c r="C89" s="3"/>
      <c r="D89" s="3"/>
      <c r="E89" s="3"/>
      <c r="F89" s="3"/>
      <c r="G89" s="3"/>
      <c r="I89" s="3"/>
    </row>
    <row r="90" ht="15.75" customHeight="1">
      <c r="C90" s="3"/>
      <c r="D90" s="3"/>
      <c r="E90" s="3"/>
      <c r="F90" s="3"/>
      <c r="G90" s="3"/>
      <c r="I90" s="3"/>
    </row>
    <row r="91" ht="15.75" customHeight="1">
      <c r="C91" s="3"/>
      <c r="D91" s="3"/>
      <c r="E91" s="3"/>
      <c r="F91" s="3"/>
      <c r="G91" s="3"/>
      <c r="I91" s="3"/>
    </row>
    <row r="92" ht="15.75" customHeight="1">
      <c r="C92" s="3"/>
      <c r="D92" s="3"/>
      <c r="E92" s="3"/>
      <c r="F92" s="3"/>
      <c r="G92" s="3"/>
      <c r="I92" s="3"/>
    </row>
    <row r="93" ht="15.75" customHeight="1">
      <c r="C93" s="3"/>
      <c r="D93" s="3"/>
      <c r="E93" s="3"/>
      <c r="F93" s="3"/>
      <c r="G93" s="3"/>
      <c r="I93" s="3"/>
    </row>
    <row r="94" ht="15.75" customHeight="1">
      <c r="C94" s="3"/>
      <c r="D94" s="3"/>
      <c r="E94" s="3"/>
      <c r="F94" s="3"/>
      <c r="G94" s="3"/>
      <c r="I94" s="3"/>
    </row>
    <row r="95" ht="15.75" customHeight="1">
      <c r="C95" s="3"/>
      <c r="D95" s="3"/>
      <c r="E95" s="3"/>
      <c r="F95" s="3"/>
      <c r="G95" s="3"/>
      <c r="I95" s="3"/>
    </row>
    <row r="96" ht="15.75" customHeight="1">
      <c r="C96" s="3"/>
      <c r="D96" s="3"/>
      <c r="E96" s="3"/>
      <c r="F96" s="3"/>
      <c r="G96" s="3"/>
      <c r="I96" s="3"/>
    </row>
    <row r="97" ht="15.75" customHeight="1">
      <c r="C97" s="3"/>
      <c r="D97" s="3"/>
      <c r="E97" s="3"/>
      <c r="F97" s="3"/>
      <c r="G97" s="3"/>
      <c r="I97" s="3"/>
    </row>
    <row r="98" ht="15.75" customHeight="1">
      <c r="C98" s="3"/>
      <c r="D98" s="3"/>
      <c r="E98" s="3"/>
      <c r="F98" s="3"/>
      <c r="G98" s="3"/>
      <c r="I98" s="3"/>
    </row>
    <row r="99" ht="15.75" customHeight="1">
      <c r="C99" s="3"/>
      <c r="D99" s="3"/>
      <c r="E99" s="3"/>
      <c r="F99" s="3"/>
      <c r="G99" s="3"/>
      <c r="I99" s="3"/>
    </row>
    <row r="100" ht="15.75" customHeight="1">
      <c r="C100" s="3"/>
      <c r="D100" s="3"/>
      <c r="E100" s="3"/>
      <c r="F100" s="3"/>
      <c r="G100" s="3"/>
      <c r="I100" s="3"/>
    </row>
    <row r="101" ht="15.75" customHeight="1">
      <c r="C101" s="3"/>
      <c r="D101" s="3"/>
      <c r="E101" s="3"/>
      <c r="F101" s="3"/>
      <c r="G101" s="3"/>
      <c r="I101" s="3"/>
    </row>
    <row r="102" ht="15.75" customHeight="1">
      <c r="C102" s="3"/>
      <c r="D102" s="3"/>
      <c r="E102" s="3"/>
      <c r="F102" s="3"/>
      <c r="G102" s="3"/>
      <c r="I102" s="3"/>
    </row>
    <row r="103" ht="15.75" customHeight="1">
      <c r="C103" s="3"/>
      <c r="D103" s="3"/>
      <c r="E103" s="3"/>
      <c r="F103" s="3"/>
      <c r="G103" s="3"/>
      <c r="I103" s="3"/>
    </row>
    <row r="104" ht="15.75" customHeight="1">
      <c r="C104" s="3"/>
      <c r="D104" s="3"/>
      <c r="E104" s="3"/>
      <c r="F104" s="3"/>
      <c r="G104" s="3"/>
      <c r="I104" s="3"/>
    </row>
    <row r="105" ht="15.75" customHeight="1">
      <c r="C105" s="3"/>
      <c r="D105" s="3"/>
      <c r="E105" s="3"/>
      <c r="F105" s="3"/>
      <c r="G105" s="3"/>
      <c r="I105" s="3"/>
    </row>
    <row r="106" ht="15.75" customHeight="1">
      <c r="C106" s="3"/>
      <c r="D106" s="3"/>
      <c r="E106" s="3"/>
      <c r="F106" s="3"/>
      <c r="G106" s="3"/>
      <c r="I106" s="3"/>
    </row>
    <row r="107" ht="15.75" customHeight="1">
      <c r="C107" s="3"/>
      <c r="D107" s="3"/>
      <c r="E107" s="3"/>
      <c r="F107" s="3"/>
      <c r="G107" s="3"/>
      <c r="I107" s="3"/>
    </row>
    <row r="108" ht="15.75" customHeight="1">
      <c r="C108" s="3"/>
      <c r="D108" s="3"/>
      <c r="E108" s="3"/>
      <c r="F108" s="3"/>
      <c r="G108" s="3"/>
      <c r="I108" s="3"/>
    </row>
    <row r="109" ht="15.75" customHeight="1">
      <c r="C109" s="3"/>
      <c r="D109" s="3"/>
      <c r="E109" s="3"/>
      <c r="F109" s="3"/>
      <c r="G109" s="3"/>
      <c r="I109" s="3"/>
    </row>
    <row r="110" ht="15.75" customHeight="1">
      <c r="C110" s="3"/>
      <c r="D110" s="3"/>
      <c r="E110" s="3"/>
      <c r="F110" s="3"/>
      <c r="G110" s="3"/>
      <c r="I110" s="3"/>
    </row>
    <row r="111" ht="15.75" customHeight="1">
      <c r="C111" s="3"/>
      <c r="D111" s="3"/>
      <c r="E111" s="3"/>
      <c r="F111" s="3"/>
      <c r="G111" s="3"/>
      <c r="I111" s="3"/>
    </row>
    <row r="112" ht="15.75" customHeight="1">
      <c r="C112" s="3"/>
      <c r="D112" s="3"/>
      <c r="E112" s="3"/>
      <c r="F112" s="3"/>
      <c r="G112" s="3"/>
      <c r="I112" s="3"/>
    </row>
    <row r="113" ht="15.75" customHeight="1">
      <c r="C113" s="3"/>
      <c r="D113" s="3"/>
      <c r="E113" s="3"/>
      <c r="F113" s="3"/>
      <c r="G113" s="3"/>
      <c r="I113" s="3"/>
    </row>
    <row r="114" ht="15.75" customHeight="1">
      <c r="C114" s="3"/>
      <c r="D114" s="3"/>
      <c r="E114" s="3"/>
      <c r="F114" s="3"/>
      <c r="G114" s="3"/>
      <c r="I114" s="3"/>
    </row>
    <row r="115" ht="15.75" customHeight="1">
      <c r="C115" s="3"/>
      <c r="D115" s="3"/>
      <c r="E115" s="3"/>
      <c r="F115" s="3"/>
      <c r="G115" s="3"/>
      <c r="I115" s="3"/>
    </row>
    <row r="116" ht="15.75" customHeight="1">
      <c r="C116" s="3"/>
      <c r="D116" s="3"/>
      <c r="E116" s="3"/>
      <c r="F116" s="3"/>
      <c r="G116" s="3"/>
      <c r="I116" s="3"/>
    </row>
    <row r="117" ht="15.75" customHeight="1">
      <c r="C117" s="3"/>
      <c r="D117" s="3"/>
      <c r="E117" s="3"/>
      <c r="F117" s="3"/>
      <c r="G117" s="3"/>
      <c r="I117" s="3"/>
    </row>
    <row r="118" ht="15.75" customHeight="1">
      <c r="C118" s="3"/>
      <c r="D118" s="3"/>
      <c r="E118" s="3"/>
      <c r="F118" s="3"/>
      <c r="G118" s="3"/>
      <c r="I118" s="3"/>
    </row>
    <row r="119" ht="15.75" customHeight="1">
      <c r="C119" s="3"/>
      <c r="D119" s="3"/>
      <c r="E119" s="3"/>
      <c r="F119" s="3"/>
      <c r="G119" s="3"/>
      <c r="I119" s="3"/>
    </row>
    <row r="120" ht="15.75" customHeight="1">
      <c r="C120" s="3"/>
      <c r="D120" s="3"/>
      <c r="E120" s="3"/>
      <c r="F120" s="3"/>
      <c r="G120" s="3"/>
      <c r="I120" s="3"/>
    </row>
    <row r="121" ht="15.75" customHeight="1">
      <c r="C121" s="3"/>
      <c r="D121" s="3"/>
      <c r="E121" s="3"/>
      <c r="F121" s="3"/>
      <c r="G121" s="3"/>
      <c r="I121" s="3"/>
    </row>
    <row r="122" ht="15.75" customHeight="1">
      <c r="C122" s="3"/>
      <c r="D122" s="3"/>
      <c r="E122" s="3"/>
      <c r="F122" s="3"/>
      <c r="G122" s="3"/>
      <c r="I122" s="3"/>
    </row>
    <row r="123" ht="15.75" customHeight="1">
      <c r="C123" s="3"/>
      <c r="D123" s="3"/>
      <c r="E123" s="3"/>
      <c r="F123" s="3"/>
      <c r="G123" s="3"/>
      <c r="I123" s="3"/>
    </row>
    <row r="124" ht="15.75" customHeight="1">
      <c r="C124" s="3"/>
      <c r="D124" s="3"/>
      <c r="E124" s="3"/>
      <c r="F124" s="3"/>
      <c r="G124" s="3"/>
      <c r="I124" s="3"/>
    </row>
    <row r="125" ht="15.75" customHeight="1">
      <c r="C125" s="3"/>
      <c r="D125" s="3"/>
      <c r="E125" s="3"/>
      <c r="F125" s="3"/>
      <c r="G125" s="3"/>
      <c r="I125" s="3"/>
    </row>
    <row r="126" ht="15.75" customHeight="1">
      <c r="C126" s="3"/>
      <c r="D126" s="3"/>
      <c r="E126" s="3"/>
      <c r="F126" s="3"/>
      <c r="G126" s="3"/>
      <c r="I126" s="3"/>
    </row>
    <row r="127" ht="15.75" customHeight="1">
      <c r="C127" s="3"/>
      <c r="D127" s="3"/>
      <c r="E127" s="3"/>
      <c r="F127" s="3"/>
      <c r="G127" s="3"/>
      <c r="I127" s="3"/>
    </row>
    <row r="128" ht="15.75" customHeight="1">
      <c r="C128" s="3"/>
      <c r="D128" s="3"/>
      <c r="E128" s="3"/>
      <c r="F128" s="3"/>
      <c r="G128" s="3"/>
      <c r="I128" s="3"/>
    </row>
    <row r="129" ht="15.75" customHeight="1">
      <c r="C129" s="3"/>
      <c r="D129" s="3"/>
      <c r="E129" s="3"/>
      <c r="F129" s="3"/>
      <c r="G129" s="3"/>
      <c r="I129" s="3"/>
    </row>
    <row r="130" ht="15.75" customHeight="1">
      <c r="C130" s="3"/>
      <c r="D130" s="3"/>
      <c r="E130" s="3"/>
      <c r="F130" s="3"/>
      <c r="G130" s="3"/>
      <c r="I130" s="3"/>
    </row>
    <row r="131" ht="15.75" customHeight="1">
      <c r="C131" s="3"/>
      <c r="D131" s="3"/>
      <c r="E131" s="3"/>
      <c r="F131" s="3"/>
      <c r="G131" s="3"/>
      <c r="I131" s="3"/>
    </row>
    <row r="132" ht="15.75" customHeight="1">
      <c r="C132" s="3"/>
      <c r="D132" s="3"/>
      <c r="E132" s="3"/>
      <c r="F132" s="3"/>
      <c r="G132" s="3"/>
      <c r="I132" s="3"/>
    </row>
    <row r="133" ht="15.75" customHeight="1">
      <c r="C133" s="3"/>
      <c r="D133" s="3"/>
      <c r="E133" s="3"/>
      <c r="F133" s="3"/>
      <c r="G133" s="3"/>
      <c r="I133" s="3"/>
    </row>
    <row r="134" ht="15.75" customHeight="1">
      <c r="C134" s="3"/>
      <c r="D134" s="3"/>
      <c r="E134" s="3"/>
      <c r="F134" s="3"/>
      <c r="G134" s="3"/>
      <c r="I134" s="3"/>
    </row>
    <row r="135" ht="15.75" customHeight="1">
      <c r="C135" s="3"/>
      <c r="D135" s="3"/>
      <c r="E135" s="3"/>
      <c r="F135" s="3"/>
      <c r="G135" s="3"/>
      <c r="I135" s="3"/>
    </row>
    <row r="136" ht="15.75" customHeight="1">
      <c r="C136" s="3"/>
      <c r="D136" s="3"/>
      <c r="E136" s="3"/>
      <c r="F136" s="3"/>
      <c r="G136" s="3"/>
      <c r="I136" s="3"/>
    </row>
    <row r="137" ht="15.75" customHeight="1">
      <c r="C137" s="3"/>
      <c r="D137" s="3"/>
      <c r="E137" s="3"/>
      <c r="F137" s="3"/>
      <c r="G137" s="3"/>
      <c r="I137" s="3"/>
    </row>
    <row r="138" ht="15.75" customHeight="1">
      <c r="C138" s="3"/>
      <c r="D138" s="3"/>
      <c r="E138" s="3"/>
      <c r="F138" s="3"/>
      <c r="G138" s="3"/>
      <c r="I138" s="3"/>
    </row>
    <row r="139" ht="15.75" customHeight="1">
      <c r="C139" s="3"/>
      <c r="D139" s="3"/>
      <c r="E139" s="3"/>
      <c r="F139" s="3"/>
      <c r="G139" s="3"/>
      <c r="I139" s="3"/>
    </row>
    <row r="140" ht="15.75" customHeight="1">
      <c r="C140" s="3"/>
      <c r="D140" s="3"/>
      <c r="E140" s="3"/>
      <c r="F140" s="3"/>
      <c r="G140" s="3"/>
      <c r="I140" s="3"/>
    </row>
    <row r="141" ht="15.75" customHeight="1">
      <c r="C141" s="3"/>
      <c r="D141" s="3"/>
      <c r="E141" s="3"/>
      <c r="F141" s="3"/>
      <c r="G141" s="3"/>
      <c r="I141" s="3"/>
    </row>
    <row r="142" ht="15.75" customHeight="1">
      <c r="C142" s="3"/>
      <c r="D142" s="3"/>
      <c r="E142" s="3"/>
      <c r="F142" s="3"/>
      <c r="G142" s="3"/>
      <c r="I142" s="3"/>
    </row>
    <row r="143" ht="15.75" customHeight="1">
      <c r="C143" s="3"/>
      <c r="D143" s="3"/>
      <c r="E143" s="3"/>
      <c r="F143" s="3"/>
      <c r="G143" s="3"/>
      <c r="I143" s="3"/>
    </row>
    <row r="144" ht="15.75" customHeight="1">
      <c r="C144" s="3"/>
      <c r="D144" s="3"/>
      <c r="E144" s="3"/>
      <c r="F144" s="3"/>
      <c r="G144" s="3"/>
      <c r="I144" s="3"/>
    </row>
    <row r="145" ht="15.75" customHeight="1">
      <c r="C145" s="3"/>
      <c r="D145" s="3"/>
      <c r="E145" s="3"/>
      <c r="F145" s="3"/>
      <c r="G145" s="3"/>
      <c r="I145" s="3"/>
    </row>
    <row r="146" ht="15.75" customHeight="1">
      <c r="C146" s="3"/>
      <c r="D146" s="3"/>
      <c r="E146" s="3"/>
      <c r="F146" s="3"/>
      <c r="G146" s="3"/>
      <c r="I146" s="3"/>
    </row>
    <row r="147" ht="15.75" customHeight="1">
      <c r="C147" s="3"/>
      <c r="D147" s="3"/>
      <c r="E147" s="3"/>
      <c r="F147" s="3"/>
      <c r="G147" s="3"/>
      <c r="I147" s="3"/>
    </row>
    <row r="148" ht="15.75" customHeight="1">
      <c r="C148" s="3"/>
      <c r="D148" s="3"/>
      <c r="E148" s="3"/>
      <c r="F148" s="3"/>
      <c r="G148" s="3"/>
      <c r="I148" s="3"/>
    </row>
    <row r="149" ht="15.75" customHeight="1">
      <c r="C149" s="3"/>
      <c r="D149" s="3"/>
      <c r="E149" s="3"/>
      <c r="F149" s="3"/>
      <c r="G149" s="3"/>
      <c r="I149" s="3"/>
    </row>
    <row r="150" ht="15.75" customHeight="1">
      <c r="C150" s="3"/>
      <c r="D150" s="3"/>
      <c r="E150" s="3"/>
      <c r="F150" s="3"/>
      <c r="G150" s="3"/>
      <c r="I150" s="3"/>
    </row>
    <row r="151" ht="15.75" customHeight="1">
      <c r="C151" s="3"/>
      <c r="D151" s="3"/>
      <c r="E151" s="3"/>
      <c r="F151" s="3"/>
      <c r="G151" s="3"/>
      <c r="I151" s="3"/>
    </row>
    <row r="152" ht="15.75" customHeight="1">
      <c r="C152" s="3"/>
      <c r="D152" s="3"/>
      <c r="E152" s="3"/>
      <c r="F152" s="3"/>
      <c r="G152" s="3"/>
      <c r="I152" s="3"/>
    </row>
    <row r="153" ht="15.75" customHeight="1">
      <c r="C153" s="3"/>
      <c r="D153" s="3"/>
      <c r="E153" s="3"/>
      <c r="F153" s="3"/>
      <c r="G153" s="3"/>
      <c r="I153" s="3"/>
    </row>
    <row r="154" ht="15.75" customHeight="1">
      <c r="C154" s="3"/>
      <c r="D154" s="3"/>
      <c r="E154" s="3"/>
      <c r="F154" s="3"/>
      <c r="G154" s="3"/>
      <c r="I154" s="3"/>
    </row>
    <row r="155" ht="15.75" customHeight="1">
      <c r="C155" s="3"/>
      <c r="D155" s="3"/>
      <c r="E155" s="3"/>
      <c r="F155" s="3"/>
      <c r="G155" s="3"/>
      <c r="I155" s="3"/>
    </row>
    <row r="156" ht="15.75" customHeight="1">
      <c r="C156" s="3"/>
      <c r="D156" s="3"/>
      <c r="E156" s="3"/>
      <c r="F156" s="3"/>
      <c r="G156" s="3"/>
      <c r="I156" s="3"/>
    </row>
    <row r="157" ht="15.75" customHeight="1">
      <c r="C157" s="3"/>
      <c r="D157" s="3"/>
      <c r="E157" s="3"/>
      <c r="F157" s="3"/>
      <c r="G157" s="3"/>
      <c r="I157" s="3"/>
    </row>
    <row r="158" ht="15.75" customHeight="1">
      <c r="C158" s="3"/>
      <c r="D158" s="3"/>
      <c r="E158" s="3"/>
      <c r="F158" s="3"/>
      <c r="G158" s="3"/>
      <c r="I158" s="3"/>
    </row>
    <row r="159" ht="15.75" customHeight="1">
      <c r="C159" s="3"/>
      <c r="D159" s="3"/>
      <c r="E159" s="3"/>
      <c r="F159" s="3"/>
      <c r="G159" s="3"/>
      <c r="I159" s="3"/>
    </row>
    <row r="160" ht="15.75" customHeight="1">
      <c r="C160" s="3"/>
      <c r="D160" s="3"/>
      <c r="E160" s="3"/>
      <c r="F160" s="3"/>
      <c r="G160" s="3"/>
      <c r="I160" s="3"/>
    </row>
    <row r="161" ht="15.75" customHeight="1">
      <c r="C161" s="3"/>
      <c r="D161" s="3"/>
      <c r="E161" s="3"/>
      <c r="F161" s="3"/>
      <c r="G161" s="3"/>
      <c r="I161" s="3"/>
    </row>
    <row r="162" ht="15.75" customHeight="1">
      <c r="C162" s="3"/>
      <c r="D162" s="3"/>
      <c r="E162" s="3"/>
      <c r="F162" s="3"/>
      <c r="G162" s="3"/>
      <c r="I162" s="3"/>
    </row>
    <row r="163" ht="15.75" customHeight="1">
      <c r="C163" s="3"/>
      <c r="D163" s="3"/>
      <c r="E163" s="3"/>
      <c r="F163" s="3"/>
      <c r="G163" s="3"/>
      <c r="I163" s="3"/>
    </row>
    <row r="164" ht="15.75" customHeight="1">
      <c r="C164" s="3"/>
      <c r="D164" s="3"/>
      <c r="E164" s="3"/>
      <c r="F164" s="3"/>
      <c r="G164" s="3"/>
      <c r="I164" s="3"/>
    </row>
    <row r="165" ht="15.75" customHeight="1">
      <c r="C165" s="3"/>
      <c r="D165" s="3"/>
      <c r="E165" s="3"/>
      <c r="F165" s="3"/>
      <c r="G165" s="3"/>
      <c r="I165" s="3"/>
    </row>
    <row r="166" ht="15.75" customHeight="1">
      <c r="C166" s="3"/>
      <c r="D166" s="3"/>
      <c r="E166" s="3"/>
      <c r="F166" s="3"/>
      <c r="G166" s="3"/>
      <c r="I166" s="3"/>
    </row>
    <row r="167" ht="15.75" customHeight="1">
      <c r="C167" s="3"/>
      <c r="D167" s="3"/>
      <c r="E167" s="3"/>
      <c r="F167" s="3"/>
      <c r="G167" s="3"/>
      <c r="I167" s="3"/>
    </row>
    <row r="168" ht="15.75" customHeight="1">
      <c r="C168" s="3"/>
      <c r="D168" s="3"/>
      <c r="E168" s="3"/>
      <c r="F168" s="3"/>
      <c r="G168" s="3"/>
      <c r="I168" s="3"/>
    </row>
    <row r="169" ht="15.75" customHeight="1">
      <c r="C169" s="3"/>
      <c r="D169" s="3"/>
      <c r="E169" s="3"/>
      <c r="F169" s="3"/>
      <c r="G169" s="3"/>
      <c r="I169" s="3"/>
    </row>
    <row r="170" ht="15.75" customHeight="1">
      <c r="C170" s="3"/>
      <c r="D170" s="3"/>
      <c r="E170" s="3"/>
      <c r="F170" s="3"/>
      <c r="G170" s="3"/>
      <c r="I170" s="3"/>
    </row>
    <row r="171" ht="15.75" customHeight="1">
      <c r="C171" s="3"/>
      <c r="D171" s="3"/>
      <c r="E171" s="3"/>
      <c r="F171" s="3"/>
      <c r="G171" s="3"/>
      <c r="I171" s="3"/>
    </row>
    <row r="172" ht="15.75" customHeight="1">
      <c r="C172" s="3"/>
      <c r="D172" s="3"/>
      <c r="E172" s="3"/>
      <c r="F172" s="3"/>
      <c r="G172" s="3"/>
      <c r="I172" s="3"/>
    </row>
    <row r="173" ht="15.75" customHeight="1">
      <c r="C173" s="3"/>
      <c r="D173" s="3"/>
      <c r="E173" s="3"/>
      <c r="F173" s="3"/>
      <c r="G173" s="3"/>
      <c r="I173" s="3"/>
    </row>
    <row r="174" ht="15.75" customHeight="1">
      <c r="C174" s="3"/>
      <c r="D174" s="3"/>
      <c r="E174" s="3"/>
      <c r="F174" s="3"/>
      <c r="G174" s="3"/>
      <c r="I174" s="3"/>
    </row>
    <row r="175" ht="15.75" customHeight="1">
      <c r="C175" s="3"/>
      <c r="D175" s="3"/>
      <c r="E175" s="3"/>
      <c r="F175" s="3"/>
      <c r="G175" s="3"/>
      <c r="I175" s="3"/>
    </row>
    <row r="176" ht="15.75" customHeight="1">
      <c r="C176" s="3"/>
      <c r="D176" s="3"/>
      <c r="E176" s="3"/>
      <c r="F176" s="3"/>
      <c r="G176" s="3"/>
      <c r="I176" s="3"/>
    </row>
    <row r="177" ht="15.75" customHeight="1">
      <c r="C177" s="3"/>
      <c r="D177" s="3"/>
      <c r="E177" s="3"/>
      <c r="F177" s="3"/>
      <c r="G177" s="3"/>
      <c r="I177" s="3"/>
    </row>
    <row r="178" ht="15.75" customHeight="1">
      <c r="C178" s="3"/>
      <c r="D178" s="3"/>
      <c r="E178" s="3"/>
      <c r="F178" s="3"/>
      <c r="G178" s="3"/>
      <c r="I178" s="3"/>
    </row>
    <row r="179" ht="15.75" customHeight="1">
      <c r="C179" s="3"/>
      <c r="D179" s="3"/>
      <c r="E179" s="3"/>
      <c r="F179" s="3"/>
      <c r="G179" s="3"/>
      <c r="I179" s="3"/>
    </row>
    <row r="180" ht="15.75" customHeight="1">
      <c r="C180" s="3"/>
      <c r="D180" s="3"/>
      <c r="E180" s="3"/>
      <c r="F180" s="3"/>
      <c r="G180" s="3"/>
      <c r="I180" s="3"/>
    </row>
    <row r="181" ht="15.75" customHeight="1">
      <c r="C181" s="3"/>
      <c r="D181" s="3"/>
      <c r="E181" s="3"/>
      <c r="F181" s="3"/>
      <c r="G181" s="3"/>
      <c r="I181" s="3"/>
    </row>
    <row r="182" ht="15.75" customHeight="1">
      <c r="C182" s="3"/>
      <c r="D182" s="3"/>
      <c r="E182" s="3"/>
      <c r="F182" s="3"/>
      <c r="G182" s="3"/>
      <c r="I182" s="3"/>
    </row>
    <row r="183" ht="15.75" customHeight="1">
      <c r="C183" s="3"/>
      <c r="D183" s="3"/>
      <c r="E183" s="3"/>
      <c r="F183" s="3"/>
      <c r="G183" s="3"/>
      <c r="I183" s="3"/>
    </row>
    <row r="184" ht="15.75" customHeight="1">
      <c r="C184" s="3"/>
      <c r="D184" s="3"/>
      <c r="E184" s="3"/>
      <c r="F184" s="3"/>
      <c r="G184" s="3"/>
      <c r="I184" s="3"/>
    </row>
    <row r="185" ht="15.75" customHeight="1">
      <c r="C185" s="3"/>
      <c r="D185" s="3"/>
      <c r="E185" s="3"/>
      <c r="F185" s="3"/>
      <c r="G185" s="3"/>
      <c r="I185" s="3"/>
    </row>
    <row r="186" ht="15.75" customHeight="1">
      <c r="C186" s="3"/>
      <c r="D186" s="3"/>
      <c r="E186" s="3"/>
      <c r="F186" s="3"/>
      <c r="G186" s="3"/>
      <c r="I186" s="3"/>
    </row>
    <row r="187" ht="15.75" customHeight="1">
      <c r="C187" s="3"/>
      <c r="D187" s="3"/>
      <c r="E187" s="3"/>
      <c r="F187" s="3"/>
      <c r="G187" s="3"/>
      <c r="I187" s="3"/>
    </row>
    <row r="188" ht="15.75" customHeight="1">
      <c r="C188" s="3"/>
      <c r="D188" s="3"/>
      <c r="E188" s="3"/>
      <c r="F188" s="3"/>
      <c r="G188" s="3"/>
      <c r="I188" s="3"/>
    </row>
    <row r="189" ht="15.75" customHeight="1">
      <c r="C189" s="3"/>
      <c r="D189" s="3"/>
      <c r="E189" s="3"/>
      <c r="F189" s="3"/>
      <c r="G189" s="3"/>
      <c r="I189" s="3"/>
    </row>
    <row r="190" ht="15.75" customHeight="1">
      <c r="C190" s="3"/>
      <c r="D190" s="3"/>
      <c r="E190" s="3"/>
      <c r="F190" s="3"/>
      <c r="G190" s="3"/>
      <c r="I190" s="3"/>
    </row>
    <row r="191" ht="15.75" customHeight="1">
      <c r="C191" s="3"/>
      <c r="D191" s="3"/>
      <c r="E191" s="3"/>
      <c r="F191" s="3"/>
      <c r="G191" s="3"/>
      <c r="I191" s="3"/>
    </row>
    <row r="192" ht="15.75" customHeight="1">
      <c r="C192" s="3"/>
      <c r="D192" s="3"/>
      <c r="E192" s="3"/>
      <c r="F192" s="3"/>
      <c r="G192" s="3"/>
      <c r="I192" s="3"/>
    </row>
    <row r="193" ht="15.75" customHeight="1">
      <c r="C193" s="3"/>
      <c r="D193" s="3"/>
      <c r="E193" s="3"/>
      <c r="F193" s="3"/>
      <c r="G193" s="3"/>
      <c r="I193" s="3"/>
    </row>
    <row r="194" ht="15.75" customHeight="1">
      <c r="C194" s="3"/>
      <c r="D194" s="3"/>
      <c r="E194" s="3"/>
      <c r="F194" s="3"/>
      <c r="G194" s="3"/>
      <c r="I194" s="3"/>
    </row>
    <row r="195" ht="15.75" customHeight="1">
      <c r="C195" s="3"/>
      <c r="D195" s="3"/>
      <c r="E195" s="3"/>
      <c r="F195" s="3"/>
      <c r="G195" s="3"/>
      <c r="I195" s="3"/>
    </row>
    <row r="196" ht="15.75" customHeight="1">
      <c r="C196" s="3"/>
      <c r="D196" s="3"/>
      <c r="E196" s="3"/>
      <c r="F196" s="3"/>
      <c r="G196" s="3"/>
      <c r="I196" s="3"/>
    </row>
    <row r="197" ht="15.75" customHeight="1">
      <c r="C197" s="3"/>
      <c r="D197" s="3"/>
      <c r="E197" s="3"/>
      <c r="F197" s="3"/>
      <c r="G197" s="3"/>
      <c r="I197" s="3"/>
    </row>
    <row r="198" ht="15.75" customHeight="1">
      <c r="C198" s="3"/>
      <c r="D198" s="3"/>
      <c r="E198" s="3"/>
      <c r="F198" s="3"/>
      <c r="G198" s="3"/>
      <c r="I198" s="3"/>
    </row>
    <row r="199" ht="15.75" customHeight="1">
      <c r="C199" s="3"/>
      <c r="D199" s="3"/>
      <c r="E199" s="3"/>
      <c r="F199" s="3"/>
      <c r="G199" s="3"/>
      <c r="I199" s="3"/>
    </row>
    <row r="200" ht="15.75" customHeight="1">
      <c r="C200" s="3"/>
      <c r="D200" s="3"/>
      <c r="E200" s="3"/>
      <c r="F200" s="3"/>
      <c r="G200" s="3"/>
      <c r="I200" s="3"/>
    </row>
    <row r="201" ht="15.75" customHeight="1">
      <c r="C201" s="3"/>
      <c r="D201" s="3"/>
      <c r="E201" s="3"/>
      <c r="F201" s="3"/>
      <c r="G201" s="3"/>
      <c r="I201" s="3"/>
    </row>
    <row r="202" ht="15.75" customHeight="1">
      <c r="C202" s="3"/>
      <c r="D202" s="3"/>
      <c r="E202" s="3"/>
      <c r="F202" s="3"/>
      <c r="G202" s="3"/>
      <c r="I202" s="3"/>
    </row>
    <row r="203" ht="15.75" customHeight="1">
      <c r="C203" s="3"/>
      <c r="D203" s="3"/>
      <c r="E203" s="3"/>
      <c r="F203" s="3"/>
      <c r="G203" s="3"/>
      <c r="I203" s="3"/>
    </row>
    <row r="204" ht="15.75" customHeight="1">
      <c r="C204" s="3"/>
      <c r="D204" s="3"/>
      <c r="E204" s="3"/>
      <c r="F204" s="3"/>
      <c r="G204" s="3"/>
      <c r="I204" s="3"/>
    </row>
    <row r="205" ht="15.75" customHeight="1">
      <c r="C205" s="3"/>
      <c r="D205" s="3"/>
      <c r="E205" s="3"/>
      <c r="F205" s="3"/>
      <c r="G205" s="3"/>
      <c r="I205" s="3"/>
    </row>
    <row r="206" ht="15.75" customHeight="1">
      <c r="C206" s="3"/>
      <c r="D206" s="3"/>
      <c r="E206" s="3"/>
      <c r="F206" s="3"/>
      <c r="G206" s="3"/>
      <c r="I206" s="3"/>
    </row>
    <row r="207" ht="15.75" customHeight="1">
      <c r="C207" s="3"/>
      <c r="D207" s="3"/>
      <c r="E207" s="3"/>
      <c r="F207" s="3"/>
      <c r="G207" s="3"/>
      <c r="I207" s="3"/>
    </row>
    <row r="208" ht="15.75" customHeight="1">
      <c r="C208" s="3"/>
      <c r="D208" s="3"/>
      <c r="E208" s="3"/>
      <c r="F208" s="3"/>
      <c r="G208" s="3"/>
      <c r="I208" s="3"/>
    </row>
    <row r="209" ht="15.75" customHeight="1">
      <c r="C209" s="3"/>
      <c r="D209" s="3"/>
      <c r="E209" s="3"/>
      <c r="F209" s="3"/>
      <c r="G209" s="3"/>
      <c r="I209" s="3"/>
    </row>
    <row r="210" ht="15.75" customHeight="1">
      <c r="C210" s="3"/>
      <c r="D210" s="3"/>
      <c r="E210" s="3"/>
      <c r="F210" s="3"/>
      <c r="G210" s="3"/>
      <c r="I210" s="3"/>
    </row>
    <row r="211" ht="15.75" customHeight="1">
      <c r="C211" s="3"/>
      <c r="D211" s="3"/>
      <c r="E211" s="3"/>
      <c r="F211" s="3"/>
      <c r="G211" s="3"/>
      <c r="I211" s="3"/>
    </row>
    <row r="212" ht="15.75" customHeight="1">
      <c r="C212" s="3"/>
      <c r="D212" s="3"/>
      <c r="E212" s="3"/>
      <c r="F212" s="3"/>
      <c r="G212" s="3"/>
      <c r="I212" s="3"/>
    </row>
    <row r="213" ht="15.75" customHeight="1">
      <c r="C213" s="3"/>
      <c r="D213" s="3"/>
      <c r="E213" s="3"/>
      <c r="F213" s="3"/>
      <c r="G213" s="3"/>
      <c r="I213" s="3"/>
    </row>
    <row r="214" ht="15.75" customHeight="1">
      <c r="C214" s="3"/>
      <c r="D214" s="3"/>
      <c r="E214" s="3"/>
      <c r="F214" s="3"/>
      <c r="G214" s="3"/>
      <c r="I214" s="3"/>
    </row>
    <row r="215" ht="15.75" customHeight="1">
      <c r="C215" s="3"/>
      <c r="D215" s="3"/>
      <c r="E215" s="3"/>
      <c r="F215" s="3"/>
      <c r="G215" s="3"/>
      <c r="I215" s="3"/>
    </row>
    <row r="216" ht="15.75" customHeight="1">
      <c r="C216" s="3"/>
      <c r="D216" s="3"/>
      <c r="E216" s="3"/>
      <c r="F216" s="3"/>
      <c r="G216" s="3"/>
      <c r="I216" s="3"/>
    </row>
    <row r="217" ht="15.75" customHeight="1">
      <c r="C217" s="3"/>
      <c r="D217" s="3"/>
      <c r="E217" s="3"/>
      <c r="F217" s="3"/>
      <c r="G217" s="3"/>
      <c r="I217" s="3"/>
    </row>
    <row r="218" ht="15.75" customHeight="1">
      <c r="C218" s="3"/>
      <c r="D218" s="3"/>
      <c r="E218" s="3"/>
      <c r="F218" s="3"/>
      <c r="G218" s="3"/>
      <c r="I218" s="3"/>
    </row>
    <row r="219" ht="15.75" customHeight="1">
      <c r="C219" s="3"/>
      <c r="D219" s="3"/>
      <c r="E219" s="3"/>
      <c r="F219" s="3"/>
      <c r="G219" s="3"/>
      <c r="I219" s="3"/>
    </row>
    <row r="220" ht="15.75" customHeight="1">
      <c r="C220" s="3"/>
      <c r="D220" s="3"/>
      <c r="E220" s="3"/>
      <c r="F220" s="3"/>
      <c r="G220" s="3"/>
      <c r="I220" s="3"/>
    </row>
    <row r="221" ht="15.75" customHeight="1">
      <c r="C221" s="3"/>
      <c r="D221" s="3"/>
      <c r="E221" s="3"/>
      <c r="F221" s="3"/>
      <c r="G221" s="3"/>
      <c r="I221" s="3"/>
    </row>
    <row r="222" ht="15.75" customHeight="1">
      <c r="C222" s="3"/>
      <c r="D222" s="3"/>
      <c r="E222" s="3"/>
      <c r="F222" s="3"/>
      <c r="G222" s="3"/>
      <c r="I222" s="3"/>
    </row>
    <row r="223" ht="15.75" customHeight="1">
      <c r="C223" s="3"/>
      <c r="D223" s="3"/>
      <c r="E223" s="3"/>
      <c r="F223" s="3"/>
      <c r="G223" s="3"/>
      <c r="I223" s="3"/>
    </row>
    <row r="224" ht="15.75" customHeight="1">
      <c r="C224" s="3"/>
      <c r="D224" s="3"/>
      <c r="E224" s="3"/>
      <c r="F224" s="3"/>
      <c r="G224" s="3"/>
      <c r="I224" s="3"/>
    </row>
    <row r="225" ht="15.75" customHeight="1">
      <c r="C225" s="3"/>
      <c r="D225" s="3"/>
      <c r="E225" s="3"/>
      <c r="F225" s="3"/>
      <c r="G225" s="3"/>
      <c r="I225" s="3"/>
    </row>
    <row r="226" ht="15.75" customHeight="1">
      <c r="C226" s="3"/>
      <c r="D226" s="3"/>
      <c r="E226" s="3"/>
      <c r="F226" s="3"/>
      <c r="G226" s="3"/>
      <c r="I226" s="3"/>
    </row>
    <row r="227" ht="15.75" customHeight="1">
      <c r="C227" s="3"/>
      <c r="D227" s="3"/>
      <c r="E227" s="3"/>
      <c r="F227" s="3"/>
      <c r="G227" s="3"/>
      <c r="I227" s="3"/>
    </row>
    <row r="228" ht="15.75" customHeight="1">
      <c r="C228" s="3"/>
      <c r="D228" s="3"/>
      <c r="E228" s="3"/>
      <c r="F228" s="3"/>
      <c r="G228" s="3"/>
      <c r="I228" s="3"/>
    </row>
    <row r="229" ht="15.75" customHeight="1">
      <c r="C229" s="3"/>
      <c r="D229" s="3"/>
      <c r="E229" s="3"/>
      <c r="F229" s="3"/>
      <c r="G229" s="3"/>
      <c r="I229" s="3"/>
    </row>
    <row r="230" ht="15.75" customHeight="1">
      <c r="C230" s="3"/>
      <c r="D230" s="3"/>
      <c r="E230" s="3"/>
      <c r="F230" s="3"/>
      <c r="G230" s="3"/>
      <c r="I230" s="3"/>
    </row>
    <row r="231" ht="15.75" customHeight="1">
      <c r="C231" s="3"/>
      <c r="D231" s="3"/>
      <c r="E231" s="3"/>
      <c r="F231" s="3"/>
      <c r="G231" s="3"/>
      <c r="I231" s="3"/>
    </row>
    <row r="232" ht="15.75" customHeight="1">
      <c r="C232" s="3"/>
      <c r="D232" s="3"/>
      <c r="E232" s="3"/>
      <c r="F232" s="3"/>
      <c r="G232" s="3"/>
      <c r="I232" s="3"/>
    </row>
    <row r="233" ht="15.75" customHeight="1">
      <c r="C233" s="3"/>
      <c r="D233" s="3"/>
      <c r="E233" s="3"/>
      <c r="F233" s="3"/>
      <c r="G233" s="3"/>
      <c r="I233" s="3"/>
    </row>
    <row r="234" ht="15.75" customHeight="1">
      <c r="C234" s="3"/>
      <c r="D234" s="3"/>
      <c r="E234" s="3"/>
      <c r="F234" s="3"/>
      <c r="G234" s="3"/>
      <c r="I234" s="3"/>
    </row>
    <row r="235" ht="15.75" customHeight="1">
      <c r="C235" s="3"/>
      <c r="D235" s="3"/>
      <c r="E235" s="3"/>
      <c r="F235" s="3"/>
      <c r="G235" s="3"/>
      <c r="I235" s="3"/>
    </row>
    <row r="236" ht="15.75" customHeight="1">
      <c r="C236" s="3"/>
      <c r="D236" s="3"/>
      <c r="E236" s="3"/>
      <c r="F236" s="3"/>
      <c r="G236" s="3"/>
      <c r="I236" s="3"/>
    </row>
    <row r="237" ht="15.75" customHeight="1">
      <c r="C237" s="3"/>
      <c r="D237" s="3"/>
      <c r="E237" s="3"/>
      <c r="F237" s="3"/>
      <c r="G237" s="3"/>
      <c r="I237" s="3"/>
    </row>
    <row r="238" ht="15.75" customHeight="1">
      <c r="C238" s="3"/>
      <c r="D238" s="3"/>
      <c r="E238" s="3"/>
      <c r="F238" s="3"/>
      <c r="G238" s="3"/>
      <c r="I238" s="3"/>
    </row>
    <row r="239" ht="15.75" customHeight="1">
      <c r="C239" s="3"/>
      <c r="D239" s="3"/>
      <c r="E239" s="3"/>
      <c r="F239" s="3"/>
      <c r="G239" s="3"/>
      <c r="I239" s="3"/>
    </row>
    <row r="240" ht="15.75" customHeight="1">
      <c r="C240" s="3"/>
      <c r="D240" s="3"/>
      <c r="E240" s="3"/>
      <c r="F240" s="3"/>
      <c r="G240" s="3"/>
      <c r="I240" s="3"/>
    </row>
    <row r="241" ht="15.75" customHeight="1">
      <c r="C241" s="3"/>
      <c r="D241" s="3"/>
      <c r="E241" s="3"/>
      <c r="F241" s="3"/>
      <c r="G241" s="3"/>
      <c r="I241" s="3"/>
    </row>
    <row r="242" ht="15.75" customHeight="1">
      <c r="C242" s="3"/>
      <c r="D242" s="3"/>
      <c r="E242" s="3"/>
      <c r="F242" s="3"/>
      <c r="G242" s="3"/>
      <c r="I242" s="3"/>
    </row>
    <row r="243" ht="15.75" customHeight="1">
      <c r="C243" s="3"/>
      <c r="D243" s="3"/>
      <c r="E243" s="3"/>
      <c r="F243" s="3"/>
      <c r="G243" s="3"/>
      <c r="I243" s="3"/>
    </row>
    <row r="244" ht="15.75" customHeight="1">
      <c r="C244" s="3"/>
      <c r="D244" s="3"/>
      <c r="E244" s="3"/>
      <c r="F244" s="3"/>
      <c r="G244" s="3"/>
      <c r="I244" s="3"/>
    </row>
    <row r="245" ht="15.75" customHeight="1">
      <c r="C245" s="3"/>
      <c r="D245" s="3"/>
      <c r="E245" s="3"/>
      <c r="F245" s="3"/>
      <c r="G245" s="3"/>
      <c r="I245" s="3"/>
    </row>
    <row r="246" ht="15.75" customHeight="1">
      <c r="C246" s="3"/>
      <c r="D246" s="3"/>
      <c r="E246" s="3"/>
      <c r="F246" s="3"/>
      <c r="G246" s="3"/>
      <c r="I246" s="3"/>
    </row>
    <row r="247" ht="15.75" customHeight="1">
      <c r="C247" s="3"/>
      <c r="D247" s="3"/>
      <c r="E247" s="3"/>
      <c r="F247" s="3"/>
      <c r="G247" s="3"/>
      <c r="I247" s="3"/>
    </row>
    <row r="248" ht="15.75" customHeight="1">
      <c r="C248" s="3"/>
      <c r="D248" s="3"/>
      <c r="E248" s="3"/>
      <c r="F248" s="3"/>
      <c r="G248" s="3"/>
      <c r="I248" s="3"/>
    </row>
    <row r="249" ht="15.75" customHeight="1">
      <c r="C249" s="3"/>
      <c r="D249" s="3"/>
      <c r="E249" s="3"/>
      <c r="F249" s="3"/>
      <c r="G249" s="3"/>
      <c r="I249" s="3"/>
    </row>
    <row r="250" ht="15.75" customHeight="1">
      <c r="C250" s="3"/>
      <c r="D250" s="3"/>
      <c r="E250" s="3"/>
      <c r="F250" s="3"/>
      <c r="G250" s="3"/>
      <c r="I250" s="3"/>
    </row>
    <row r="251" ht="15.75" customHeight="1">
      <c r="C251" s="3"/>
      <c r="D251" s="3"/>
      <c r="E251" s="3"/>
      <c r="F251" s="3"/>
      <c r="G251" s="3"/>
      <c r="I251" s="3"/>
    </row>
    <row r="252" ht="15.75" customHeight="1">
      <c r="C252" s="3"/>
      <c r="D252" s="3"/>
      <c r="E252" s="3"/>
      <c r="F252" s="3"/>
      <c r="G252" s="3"/>
      <c r="I252" s="3"/>
    </row>
    <row r="253" ht="15.75" customHeight="1">
      <c r="C253" s="3"/>
      <c r="D253" s="3"/>
      <c r="E253" s="3"/>
      <c r="F253" s="3"/>
      <c r="G253" s="3"/>
      <c r="I253" s="3"/>
    </row>
    <row r="254" ht="15.75" customHeight="1">
      <c r="C254" s="3"/>
      <c r="D254" s="3"/>
      <c r="E254" s="3"/>
      <c r="F254" s="3"/>
      <c r="G254" s="3"/>
      <c r="I254" s="3"/>
    </row>
    <row r="255" ht="15.75" customHeight="1">
      <c r="C255" s="3"/>
      <c r="D255" s="3"/>
      <c r="E255" s="3"/>
      <c r="F255" s="3"/>
      <c r="G255" s="3"/>
      <c r="I255" s="3"/>
    </row>
    <row r="256" ht="15.75" customHeight="1">
      <c r="C256" s="3"/>
      <c r="D256" s="3"/>
      <c r="E256" s="3"/>
      <c r="F256" s="3"/>
      <c r="G256" s="3"/>
      <c r="I256" s="3"/>
    </row>
    <row r="257" ht="15.75" customHeight="1">
      <c r="C257" s="3"/>
      <c r="D257" s="3"/>
      <c r="E257" s="3"/>
      <c r="F257" s="3"/>
      <c r="G257" s="3"/>
      <c r="I257" s="3"/>
    </row>
    <row r="258" ht="15.75" customHeight="1">
      <c r="C258" s="3"/>
      <c r="D258" s="3"/>
      <c r="E258" s="3"/>
      <c r="F258" s="3"/>
      <c r="G258" s="3"/>
      <c r="I258" s="3"/>
    </row>
    <row r="259" ht="15.75" customHeight="1">
      <c r="C259" s="3"/>
      <c r="D259" s="3"/>
      <c r="E259" s="3"/>
      <c r="F259" s="3"/>
      <c r="G259" s="3"/>
      <c r="I259" s="3"/>
    </row>
    <row r="260" ht="15.75" customHeight="1">
      <c r="C260" s="3"/>
      <c r="D260" s="3"/>
      <c r="E260" s="3"/>
      <c r="F260" s="3"/>
      <c r="G260" s="3"/>
      <c r="I260" s="3"/>
    </row>
    <row r="261" ht="15.75" customHeight="1">
      <c r="C261" s="3"/>
      <c r="D261" s="3"/>
      <c r="E261" s="3"/>
      <c r="F261" s="3"/>
      <c r="G261" s="3"/>
      <c r="I261" s="3"/>
    </row>
    <row r="262" ht="15.75" customHeight="1">
      <c r="C262" s="3"/>
      <c r="D262" s="3"/>
      <c r="E262" s="3"/>
      <c r="F262" s="3"/>
      <c r="G262" s="3"/>
      <c r="I262" s="3"/>
    </row>
    <row r="263" ht="15.75" customHeight="1">
      <c r="C263" s="3"/>
      <c r="D263" s="3"/>
      <c r="E263" s="3"/>
      <c r="F263" s="3"/>
      <c r="G263" s="3"/>
      <c r="I263" s="3"/>
    </row>
    <row r="264" ht="15.75" customHeight="1">
      <c r="C264" s="3"/>
      <c r="D264" s="3"/>
      <c r="E264" s="3"/>
      <c r="F264" s="3"/>
      <c r="G264" s="3"/>
      <c r="I264" s="3"/>
    </row>
    <row r="265" ht="15.75" customHeight="1">
      <c r="C265" s="3"/>
      <c r="D265" s="3"/>
      <c r="E265" s="3"/>
      <c r="F265" s="3"/>
      <c r="G265" s="3"/>
      <c r="I265" s="3"/>
    </row>
    <row r="266" ht="15.75" customHeight="1">
      <c r="C266" s="3"/>
      <c r="D266" s="3"/>
      <c r="E266" s="3"/>
      <c r="F266" s="3"/>
      <c r="G266" s="3"/>
      <c r="I266" s="3"/>
    </row>
    <row r="267" ht="15.75" customHeight="1">
      <c r="C267" s="3"/>
      <c r="D267" s="3"/>
      <c r="E267" s="3"/>
      <c r="F267" s="3"/>
      <c r="G267" s="3"/>
      <c r="I267" s="3"/>
    </row>
    <row r="268" ht="15.75" customHeight="1">
      <c r="C268" s="3"/>
      <c r="D268" s="3"/>
      <c r="E268" s="3"/>
      <c r="F268" s="3"/>
      <c r="G268" s="3"/>
      <c r="I268" s="3"/>
    </row>
    <row r="269" ht="15.75" customHeight="1">
      <c r="C269" s="3"/>
      <c r="D269" s="3"/>
      <c r="E269" s="3"/>
      <c r="F269" s="3"/>
      <c r="G269" s="3"/>
      <c r="I269" s="3"/>
    </row>
    <row r="270" ht="15.75" customHeight="1">
      <c r="C270" s="3"/>
      <c r="D270" s="3"/>
      <c r="E270" s="3"/>
      <c r="F270" s="3"/>
      <c r="G270" s="3"/>
      <c r="I270" s="3"/>
    </row>
    <row r="271" ht="15.75" customHeight="1">
      <c r="C271" s="3"/>
      <c r="D271" s="3"/>
      <c r="E271" s="3"/>
      <c r="F271" s="3"/>
      <c r="G271" s="3"/>
      <c r="I271" s="3"/>
    </row>
    <row r="272" ht="15.75" customHeight="1">
      <c r="C272" s="3"/>
      <c r="D272" s="3"/>
      <c r="E272" s="3"/>
      <c r="F272" s="3"/>
      <c r="G272" s="3"/>
      <c r="I272" s="3"/>
    </row>
    <row r="273" ht="15.75" customHeight="1">
      <c r="C273" s="3"/>
      <c r="D273" s="3"/>
      <c r="E273" s="3"/>
      <c r="F273" s="3"/>
      <c r="G273" s="3"/>
      <c r="I273" s="3"/>
    </row>
    <row r="274" ht="15.75" customHeight="1">
      <c r="C274" s="3"/>
      <c r="D274" s="3"/>
      <c r="E274" s="3"/>
      <c r="F274" s="3"/>
      <c r="G274" s="3"/>
      <c r="I274" s="3"/>
    </row>
    <row r="275" ht="15.75" customHeight="1">
      <c r="C275" s="3"/>
      <c r="D275" s="3"/>
      <c r="E275" s="3"/>
      <c r="F275" s="3"/>
      <c r="G275" s="3"/>
      <c r="I275" s="3"/>
    </row>
    <row r="276" ht="15.75" customHeight="1">
      <c r="C276" s="3"/>
      <c r="D276" s="3"/>
      <c r="E276" s="3"/>
      <c r="F276" s="3"/>
      <c r="G276" s="3"/>
      <c r="I276" s="3"/>
    </row>
    <row r="277" ht="15.75" customHeight="1">
      <c r="C277" s="3"/>
      <c r="D277" s="3"/>
      <c r="E277" s="3"/>
      <c r="F277" s="3"/>
      <c r="G277" s="3"/>
      <c r="I277" s="3"/>
    </row>
    <row r="278" ht="15.75" customHeight="1">
      <c r="C278" s="3"/>
      <c r="D278" s="3"/>
      <c r="E278" s="3"/>
      <c r="F278" s="3"/>
      <c r="G278" s="3"/>
      <c r="I278" s="3"/>
    </row>
    <row r="279" ht="15.75" customHeight="1">
      <c r="C279" s="3"/>
      <c r="D279" s="3"/>
      <c r="E279" s="3"/>
      <c r="F279" s="3"/>
      <c r="G279" s="3"/>
      <c r="I279" s="3"/>
    </row>
    <row r="280" ht="15.75" customHeight="1">
      <c r="C280" s="3"/>
      <c r="D280" s="3"/>
      <c r="E280" s="3"/>
      <c r="F280" s="3"/>
      <c r="G280" s="3"/>
      <c r="I280" s="3"/>
    </row>
    <row r="281" ht="15.75" customHeight="1">
      <c r="C281" s="3"/>
      <c r="D281" s="3"/>
      <c r="E281" s="3"/>
      <c r="F281" s="3"/>
      <c r="G281" s="3"/>
      <c r="I281" s="3"/>
    </row>
    <row r="282" ht="15.75" customHeight="1">
      <c r="C282" s="3"/>
      <c r="D282" s="3"/>
      <c r="E282" s="3"/>
      <c r="F282" s="3"/>
      <c r="G282" s="3"/>
      <c r="I282" s="3"/>
    </row>
    <row r="283" ht="15.75" customHeight="1">
      <c r="C283" s="3"/>
      <c r="D283" s="3"/>
      <c r="E283" s="3"/>
      <c r="F283" s="3"/>
      <c r="G283" s="3"/>
      <c r="I283" s="3"/>
    </row>
    <row r="284" ht="15.75" customHeight="1">
      <c r="C284" s="3"/>
      <c r="D284" s="3"/>
      <c r="E284" s="3"/>
      <c r="F284" s="3"/>
      <c r="G284" s="3"/>
      <c r="I284" s="3"/>
    </row>
    <row r="285" ht="15.75" customHeight="1">
      <c r="C285" s="3"/>
      <c r="D285" s="3"/>
      <c r="E285" s="3"/>
      <c r="F285" s="3"/>
      <c r="G285" s="3"/>
      <c r="I285" s="3"/>
    </row>
    <row r="286" ht="15.75" customHeight="1">
      <c r="C286" s="3"/>
      <c r="D286" s="3"/>
      <c r="E286" s="3"/>
      <c r="F286" s="3"/>
      <c r="G286" s="3"/>
      <c r="I286" s="3"/>
    </row>
    <row r="287" ht="15.75" customHeight="1">
      <c r="C287" s="3"/>
      <c r="D287" s="3"/>
      <c r="E287" s="3"/>
      <c r="F287" s="3"/>
      <c r="G287" s="3"/>
      <c r="I287" s="3"/>
    </row>
    <row r="288" ht="15.75" customHeight="1">
      <c r="C288" s="3"/>
      <c r="D288" s="3"/>
      <c r="E288" s="3"/>
      <c r="F288" s="3"/>
      <c r="G288" s="3"/>
      <c r="I288" s="3"/>
    </row>
    <row r="289" ht="15.75" customHeight="1">
      <c r="C289" s="3"/>
      <c r="D289" s="3"/>
      <c r="E289" s="3"/>
      <c r="F289" s="3"/>
      <c r="G289" s="3"/>
      <c r="I289" s="3"/>
    </row>
    <row r="290" ht="15.75" customHeight="1">
      <c r="C290" s="3"/>
      <c r="D290" s="3"/>
      <c r="E290" s="3"/>
      <c r="F290" s="3"/>
      <c r="G290" s="3"/>
      <c r="I290" s="3"/>
    </row>
    <row r="291" ht="15.75" customHeight="1">
      <c r="C291" s="3"/>
      <c r="D291" s="3"/>
      <c r="E291" s="3"/>
      <c r="F291" s="3"/>
      <c r="G291" s="3"/>
      <c r="I291" s="3"/>
    </row>
    <row r="292" ht="15.75" customHeight="1">
      <c r="C292" s="3"/>
      <c r="D292" s="3"/>
      <c r="E292" s="3"/>
      <c r="F292" s="3"/>
      <c r="G292" s="3"/>
      <c r="I292" s="3"/>
    </row>
    <row r="293" ht="15.75" customHeight="1">
      <c r="C293" s="3"/>
      <c r="D293" s="3"/>
      <c r="E293" s="3"/>
      <c r="F293" s="3"/>
      <c r="G293" s="3"/>
      <c r="I293" s="3"/>
    </row>
    <row r="294" ht="15.75" customHeight="1">
      <c r="C294" s="3"/>
      <c r="D294" s="3"/>
      <c r="E294" s="3"/>
      <c r="F294" s="3"/>
      <c r="G294" s="3"/>
      <c r="I294" s="3"/>
    </row>
    <row r="295" ht="15.75" customHeight="1">
      <c r="C295" s="3"/>
      <c r="D295" s="3"/>
      <c r="E295" s="3"/>
      <c r="F295" s="3"/>
      <c r="G295" s="3"/>
      <c r="I295" s="3"/>
    </row>
    <row r="296" ht="15.75" customHeight="1">
      <c r="C296" s="3"/>
      <c r="D296" s="3"/>
      <c r="E296" s="3"/>
      <c r="F296" s="3"/>
      <c r="G296" s="3"/>
      <c r="I296" s="3"/>
    </row>
    <row r="297" ht="15.75" customHeight="1">
      <c r="C297" s="3"/>
      <c r="D297" s="3"/>
      <c r="E297" s="3"/>
      <c r="F297" s="3"/>
      <c r="G297" s="3"/>
      <c r="I297" s="3"/>
    </row>
    <row r="298" ht="15.75" customHeight="1">
      <c r="C298" s="3"/>
      <c r="D298" s="3"/>
      <c r="E298" s="3"/>
      <c r="F298" s="3"/>
      <c r="G298" s="3"/>
      <c r="I298" s="3"/>
    </row>
    <row r="299" ht="15.75" customHeight="1">
      <c r="C299" s="3"/>
      <c r="D299" s="3"/>
      <c r="E299" s="3"/>
      <c r="F299" s="3"/>
      <c r="G299" s="3"/>
      <c r="I299" s="3"/>
    </row>
    <row r="300" ht="15.75" customHeight="1">
      <c r="C300" s="3"/>
      <c r="D300" s="3"/>
      <c r="E300" s="3"/>
      <c r="F300" s="3"/>
      <c r="G300" s="3"/>
      <c r="I300" s="3"/>
    </row>
    <row r="301" ht="15.75" customHeight="1">
      <c r="C301" s="3"/>
      <c r="D301" s="3"/>
      <c r="E301" s="3"/>
      <c r="F301" s="3"/>
      <c r="G301" s="3"/>
      <c r="I301" s="3"/>
    </row>
    <row r="302" ht="15.75" customHeight="1">
      <c r="C302" s="3"/>
      <c r="D302" s="3"/>
      <c r="E302" s="3"/>
      <c r="F302" s="3"/>
      <c r="G302" s="3"/>
      <c r="I302" s="3"/>
    </row>
    <row r="303" ht="15.75" customHeight="1">
      <c r="C303" s="3"/>
      <c r="D303" s="3"/>
      <c r="E303" s="3"/>
      <c r="F303" s="3"/>
      <c r="G303" s="3"/>
      <c r="I303" s="3"/>
    </row>
    <row r="304" ht="15.75" customHeight="1">
      <c r="C304" s="3"/>
      <c r="D304" s="3"/>
      <c r="E304" s="3"/>
      <c r="F304" s="3"/>
      <c r="G304" s="3"/>
      <c r="I304" s="3"/>
    </row>
    <row r="305" ht="15.75" customHeight="1">
      <c r="C305" s="3"/>
      <c r="D305" s="3"/>
      <c r="E305" s="3"/>
      <c r="F305" s="3"/>
      <c r="G305" s="3"/>
      <c r="I305" s="3"/>
    </row>
    <row r="306" ht="15.75" customHeight="1">
      <c r="C306" s="3"/>
      <c r="D306" s="3"/>
      <c r="E306" s="3"/>
      <c r="F306" s="3"/>
      <c r="G306" s="3"/>
      <c r="I306" s="3"/>
    </row>
    <row r="307" ht="15.75" customHeight="1">
      <c r="C307" s="3"/>
      <c r="D307" s="3"/>
      <c r="E307" s="3"/>
      <c r="F307" s="3"/>
      <c r="G307" s="3"/>
      <c r="I307" s="3"/>
    </row>
    <row r="308" ht="15.75" customHeight="1">
      <c r="C308" s="3"/>
      <c r="D308" s="3"/>
      <c r="E308" s="3"/>
      <c r="F308" s="3"/>
      <c r="G308" s="3"/>
      <c r="I308" s="3"/>
    </row>
    <row r="309" ht="15.75" customHeight="1">
      <c r="C309" s="3"/>
      <c r="D309" s="3"/>
      <c r="E309" s="3"/>
      <c r="F309" s="3"/>
      <c r="G309" s="3"/>
      <c r="I309" s="3"/>
    </row>
    <row r="310" ht="15.75" customHeight="1">
      <c r="C310" s="3"/>
      <c r="D310" s="3"/>
      <c r="E310" s="3"/>
      <c r="F310" s="3"/>
      <c r="G310" s="3"/>
      <c r="I310" s="3"/>
    </row>
    <row r="311" ht="15.75" customHeight="1">
      <c r="C311" s="3"/>
      <c r="D311" s="3"/>
      <c r="E311" s="3"/>
      <c r="F311" s="3"/>
      <c r="G311" s="3"/>
      <c r="I311" s="3"/>
    </row>
    <row r="312" ht="15.75" customHeight="1">
      <c r="C312" s="3"/>
      <c r="D312" s="3"/>
      <c r="E312" s="3"/>
      <c r="F312" s="3"/>
      <c r="G312" s="3"/>
      <c r="I312" s="3"/>
    </row>
    <row r="313" ht="15.75" customHeight="1">
      <c r="C313" s="3"/>
      <c r="D313" s="3"/>
      <c r="E313" s="3"/>
      <c r="F313" s="3"/>
      <c r="G313" s="3"/>
      <c r="I313" s="3"/>
    </row>
    <row r="314" ht="15.75" customHeight="1">
      <c r="C314" s="3"/>
      <c r="D314" s="3"/>
      <c r="E314" s="3"/>
      <c r="F314" s="3"/>
      <c r="G314" s="3"/>
      <c r="I314" s="3"/>
    </row>
    <row r="315" ht="15.75" customHeight="1">
      <c r="C315" s="3"/>
      <c r="D315" s="3"/>
      <c r="E315" s="3"/>
      <c r="F315" s="3"/>
      <c r="G315" s="3"/>
      <c r="I315" s="3"/>
    </row>
    <row r="316" ht="15.75" customHeight="1">
      <c r="C316" s="3"/>
      <c r="D316" s="3"/>
      <c r="E316" s="3"/>
      <c r="F316" s="3"/>
      <c r="G316" s="3"/>
      <c r="I316" s="3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</sheetData>
  <mergeCells count="4">
    <mergeCell ref="A2:A8"/>
    <mergeCell ref="A9:A15"/>
    <mergeCell ref="A16:A22"/>
    <mergeCell ref="A23:A2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2026-03-30T18:35:49Z</dcterms:created>
  <dc:creator>Jennifer Laber</dc:creator>
</cp:coreProperties>
</file>