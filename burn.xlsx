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PY" sheetId="1" r:id="rId4"/>
    <sheet state="visible" name="TRAINERS" sheetId="2" r:id="rId5"/>
    <sheet state="visible" name="Storm Steppers🌀" sheetId="3" r:id="rId6"/>
    <sheet state="visible" name="Burnin Soles" sheetId="4" r:id="rId7"/>
    <sheet state="visible" name="STRUT SQUAD⚡️🤍" sheetId="5" r:id="rId8"/>
    <sheet state="visible" name="Resting Step Face" sheetId="6" r:id="rId9"/>
    <sheet state="visible" name="Walk Around and Find Out" sheetId="7" r:id="rId10"/>
    <sheet state="visible" name="Burning up the Miles" sheetId="8" r:id="rId11"/>
    <sheet state="visible" name="Sole Sisters + 1 Mister 💅⚡️" sheetId="9" r:id="rId12"/>
    <sheet state="visible" name="Blister Sisters" sheetId="10" r:id="rId13"/>
    <sheet state="visible" name="Hot Chili Steppers🌶️" sheetId="11" r:id="rId14"/>
    <sheet state="visible" name="Lemon Peppa Steppas" sheetId="12" r:id="rId15"/>
    <sheet state="visible" name="Too Legit to Sit 🔥🔥" sheetId="13" r:id="rId16"/>
    <sheet state="visible" name="Sole Train" sheetId="14" r:id="rId17"/>
    <sheet state="visible" name="Running Late Counts" sheetId="15" r:id="rId18"/>
    <sheet state="visible" name="Sole Mates" sheetId="16" r:id="rId19"/>
    <sheet state="visible" name="Stride or Die" sheetId="17" r:id="rId20"/>
    <sheet state="visible" name="Victory Lap 🏅" sheetId="18" r:id="rId21"/>
    <sheet state="visible" name="Holy Walkamolies" sheetId="19" r:id="rId22"/>
    <sheet state="visible" name="ABCD Step Sisters" sheetId="20" r:id="rId23"/>
    <sheet state="visible" name="Goal Diggers " sheetId="21" r:id="rId24"/>
    <sheet state="visible" name="Sole Sisters 🔥👟" sheetId="22" r:id="rId25"/>
    <sheet state="visible" name="Run like The Winded" sheetId="23" r:id="rId26"/>
    <sheet state="visible" name="Last but Fast" sheetId="24" r:id="rId27"/>
    <sheet state="visible" name="RANKINGS" sheetId="25" r:id="rId28"/>
  </sheets>
  <definedNames/>
  <calcPr/>
  <extLst>
    <ext uri="GoogleSheetsCustomDataVersion2">
      <go:sheetsCustomData xmlns:go="http://customooxmlschemas.google.com/" r:id="rId29" roundtripDataChecksum="5HghG3Fm0amMjLu4jaCcLy2NgGfcm2nWT+wBYKZQe84="/>
    </ext>
  </extLst>
</workbook>
</file>

<file path=xl/sharedStrings.xml><?xml version="1.0" encoding="utf-8"?>
<sst xmlns="http://schemas.openxmlformats.org/spreadsheetml/2006/main" count="435" uniqueCount="142">
  <si>
    <t>Person A</t>
  </si>
  <si>
    <t>Person B</t>
  </si>
  <si>
    <t>Person C</t>
  </si>
  <si>
    <t>Person D</t>
  </si>
  <si>
    <t>Week 1</t>
  </si>
  <si>
    <t>Week Total</t>
  </si>
  <si>
    <t>Week 2</t>
  </si>
  <si>
    <t>Week 3</t>
  </si>
  <si>
    <t xml:space="preserve"> Week 4</t>
  </si>
  <si>
    <t>Person A Total</t>
  </si>
  <si>
    <t>Person B Total</t>
  </si>
  <si>
    <t xml:space="preserve">Person C Total </t>
  </si>
  <si>
    <t>Person D Total</t>
  </si>
  <si>
    <t>Team Total</t>
  </si>
  <si>
    <t>Jenna</t>
  </si>
  <si>
    <t>Maggie</t>
  </si>
  <si>
    <t>Natalie</t>
  </si>
  <si>
    <t>AJ</t>
  </si>
  <si>
    <t>Week 4</t>
  </si>
  <si>
    <t>Jenna Total</t>
  </si>
  <si>
    <t>Maggie Total</t>
  </si>
  <si>
    <t xml:space="preserve">Natalie Total </t>
  </si>
  <si>
    <t>AJ Total</t>
  </si>
  <si>
    <t>Kaylah C</t>
  </si>
  <si>
    <t>Jamillah S</t>
  </si>
  <si>
    <t>Kayla P</t>
  </si>
  <si>
    <t>Sarah C.</t>
  </si>
  <si>
    <t>Erica B</t>
  </si>
  <si>
    <t>Emily F</t>
  </si>
  <si>
    <t>Ana R</t>
  </si>
  <si>
    <t xml:space="preserve">Jasmin H </t>
  </si>
  <si>
    <t>Bre C</t>
  </si>
  <si>
    <t>Jen Harpe</t>
  </si>
  <si>
    <t>Marie C</t>
  </si>
  <si>
    <t>Annie L</t>
  </si>
  <si>
    <t>Bre C Total</t>
  </si>
  <si>
    <t>Jen H Total</t>
  </si>
  <si>
    <t xml:space="preserve">Marie C Total </t>
  </si>
  <si>
    <t>Annie L Total</t>
  </si>
  <si>
    <t>Rachel T</t>
  </si>
  <si>
    <t>Jatun B</t>
  </si>
  <si>
    <t>Regan B</t>
  </si>
  <si>
    <t>Zawadi W</t>
  </si>
  <si>
    <t>Emily N</t>
  </si>
  <si>
    <t>Leslie Y</t>
  </si>
  <si>
    <t>Kaylee H</t>
  </si>
  <si>
    <t>Olivia V</t>
  </si>
  <si>
    <t>HAHAHA - you're funny -Jenna</t>
  </si>
  <si>
    <t>Theresa I</t>
  </si>
  <si>
    <t>Kelsey R</t>
  </si>
  <si>
    <t>Robin R</t>
  </si>
  <si>
    <t>Steph G</t>
  </si>
  <si>
    <t>Court J./Terra H.</t>
  </si>
  <si>
    <t>Avery W</t>
  </si>
  <si>
    <t>Stephanie A.R</t>
  </si>
  <si>
    <t>Monishia E</t>
  </si>
  <si>
    <t>Katherine S</t>
  </si>
  <si>
    <t>Asia C</t>
  </si>
  <si>
    <t>Sam M.</t>
  </si>
  <si>
    <t>Rachel G</t>
  </si>
  <si>
    <t>Emily S</t>
  </si>
  <si>
    <t>Jess R</t>
  </si>
  <si>
    <t>Rachael B</t>
  </si>
  <si>
    <t xml:space="preserve">Amelia G. </t>
  </si>
  <si>
    <t>Sydnee W</t>
  </si>
  <si>
    <t>Amber C.</t>
  </si>
  <si>
    <t>Jessica F.</t>
  </si>
  <si>
    <t>Danielle O</t>
  </si>
  <si>
    <t>,</t>
  </si>
  <si>
    <t>Katie E.</t>
  </si>
  <si>
    <t>Lauren H.</t>
  </si>
  <si>
    <t>Haejin</t>
  </si>
  <si>
    <t xml:space="preserve">Kathy P. </t>
  </si>
  <si>
    <t>Taylor G</t>
  </si>
  <si>
    <t>Margaret S.</t>
  </si>
  <si>
    <t>Jessica P.</t>
  </si>
  <si>
    <t>Nikki K</t>
  </si>
  <si>
    <t>Amber A</t>
  </si>
  <si>
    <t>Sarah S</t>
  </si>
  <si>
    <t>Stephanie L.</t>
  </si>
  <si>
    <t>Candace R</t>
  </si>
  <si>
    <t>Aundrea E.</t>
  </si>
  <si>
    <t>Brandee M.</t>
  </si>
  <si>
    <t>Mary Beth G.</t>
  </si>
  <si>
    <t>Sarat D</t>
  </si>
  <si>
    <t xml:space="preserve">Tayler W. </t>
  </si>
  <si>
    <t xml:space="preserve">Cindy A. </t>
  </si>
  <si>
    <t>Susan O.</t>
  </si>
  <si>
    <t>Steven C.</t>
  </si>
  <si>
    <t>Brandi M.E.</t>
  </si>
  <si>
    <t>Jaye C.</t>
  </si>
  <si>
    <t xml:space="preserve">Sarah Anne C. </t>
  </si>
  <si>
    <t>Nicole J</t>
  </si>
  <si>
    <t>Lindsay M</t>
  </si>
  <si>
    <t>Tosha F.</t>
  </si>
  <si>
    <t>Eboni F.</t>
  </si>
  <si>
    <t xml:space="preserve">Val D. </t>
  </si>
  <si>
    <t>Candice H.</t>
  </si>
  <si>
    <t>Dormekya B.</t>
  </si>
  <si>
    <t>Alison S.</t>
  </si>
  <si>
    <t>Barb K.</t>
  </si>
  <si>
    <t>Mitzi P.</t>
  </si>
  <si>
    <t xml:space="preserve">QuiAnne' H. </t>
  </si>
  <si>
    <t>Kelly P.</t>
  </si>
  <si>
    <t>Karen R.</t>
  </si>
  <si>
    <t>Jess H.</t>
  </si>
  <si>
    <t>Tiera S.</t>
  </si>
  <si>
    <t>Barb R.</t>
  </si>
  <si>
    <t xml:space="preserve">Justine W. </t>
  </si>
  <si>
    <t>Alli B.</t>
  </si>
  <si>
    <t>Prema N.</t>
  </si>
  <si>
    <t>Dwayne B.</t>
  </si>
  <si>
    <t>Kortney H.</t>
  </si>
  <si>
    <t>Rachel M</t>
  </si>
  <si>
    <t>Ashley B</t>
  </si>
  <si>
    <t>Whitney M</t>
  </si>
  <si>
    <t>Donna W</t>
  </si>
  <si>
    <t>Team Name</t>
  </si>
  <si>
    <t>Total Amount</t>
  </si>
  <si>
    <t>Last but Fast</t>
  </si>
  <si>
    <t>Run Like the Winded</t>
  </si>
  <si>
    <t>Sole Sisters</t>
  </si>
  <si>
    <t>Goal Diggers</t>
  </si>
  <si>
    <t>ABCD Soul Sisters</t>
  </si>
  <si>
    <t>Holy Walkamolies</t>
  </si>
  <si>
    <t>Victory Lap</t>
  </si>
  <si>
    <t>Stride or Die</t>
  </si>
  <si>
    <t>Sole Mates</t>
  </si>
  <si>
    <t>Running Late Counts</t>
  </si>
  <si>
    <t>Sole Train</t>
  </si>
  <si>
    <t>Too Legit to Sit</t>
  </si>
  <si>
    <t>Lemon Peppa Steppas</t>
  </si>
  <si>
    <t>Hot Chili Steppers</t>
  </si>
  <si>
    <t>Blister Sisters</t>
  </si>
  <si>
    <t>Sole Sisters + 1 Mister</t>
  </si>
  <si>
    <t>Burning up the Miles</t>
  </si>
  <si>
    <t>Walk Around and Find Out</t>
  </si>
  <si>
    <t>Resting Step Face</t>
  </si>
  <si>
    <t>Strut Squat</t>
  </si>
  <si>
    <t>Burnin' Soles</t>
  </si>
  <si>
    <t>Storm Steppers</t>
  </si>
  <si>
    <t>Trainers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</si>
</sst>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b/>
      <i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  <font/>
    <font>
      <b/>
      <sz val="11.0"/>
      <color theme="1"/>
      <name val="Arial"/>
    </font>
    <font>
      <b/>
      <i/>
      <sz val="11.0"/>
      <color theme="1"/>
      <name val="Aptos Narrow"/>
    </font>
    <font>
      <color theme="1"/>
      <name val="Arial"/>
    </font>
    <font>
      <b/>
      <color theme="1"/>
      <name val="Aptos Narrow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2" numFmtId="3" xfId="0" applyFont="1" applyNumberFormat="1"/>
    <xf borderId="1" fillId="3" fontId="3" numFmtId="0" xfId="0" applyAlignment="1" applyBorder="1" applyFill="1" applyFont="1">
      <alignment horizontal="center" readingOrder="0" textRotation="90" vertical="center"/>
    </xf>
    <xf borderId="2" fillId="3" fontId="4" numFmtId="14" xfId="0" applyAlignment="1" applyBorder="1" applyFont="1" applyNumberFormat="1">
      <alignment horizontal="center" readingOrder="0"/>
    </xf>
    <xf borderId="2" fillId="3" fontId="4" numFmtId="3" xfId="0" applyAlignment="1" applyBorder="1" applyFont="1" applyNumberFormat="1">
      <alignment readingOrder="0"/>
    </xf>
    <xf borderId="2" fillId="3" fontId="1" numFmtId="3" xfId="0" applyBorder="1" applyFont="1" applyNumberFormat="1"/>
    <xf borderId="2" fillId="3" fontId="5" numFmtId="0" xfId="0" applyBorder="1" applyFont="1"/>
    <xf borderId="2" fillId="3" fontId="5" numFmtId="3" xfId="0" applyBorder="1" applyFont="1" applyNumberFormat="1"/>
    <xf borderId="3" fillId="0" fontId="6" numFmtId="0" xfId="0" applyBorder="1" applyFont="1"/>
    <xf borderId="2" fillId="3" fontId="4" numFmtId="0" xfId="0" applyAlignment="1" applyBorder="1" applyFont="1">
      <alignment readingOrder="0"/>
    </xf>
    <xf borderId="2" fillId="3" fontId="7" numFmtId="3" xfId="0" applyAlignment="1" applyBorder="1" applyFont="1" applyNumberFormat="1">
      <alignment readingOrder="0"/>
    </xf>
    <xf borderId="1" fillId="4" fontId="8" numFmtId="0" xfId="0" applyAlignment="1" applyBorder="1" applyFill="1" applyFont="1">
      <alignment horizontal="center" textRotation="90" vertical="center"/>
    </xf>
    <xf borderId="2" fillId="4" fontId="4" numFmtId="14" xfId="0" applyAlignment="1" applyBorder="1" applyFont="1" applyNumberFormat="1">
      <alignment horizontal="center" readingOrder="0"/>
    </xf>
    <xf borderId="2" fillId="4" fontId="5" numFmtId="3" xfId="0" applyBorder="1" applyFont="1" applyNumberFormat="1"/>
    <xf borderId="2" fillId="4" fontId="4" numFmtId="3" xfId="0" applyAlignment="1" applyBorder="1" applyFont="1" applyNumberFormat="1">
      <alignment readingOrder="0"/>
    </xf>
    <xf borderId="2" fillId="4" fontId="1" numFmtId="3" xfId="0" applyBorder="1" applyFont="1" applyNumberFormat="1"/>
    <xf borderId="2" fillId="4" fontId="5" numFmtId="0" xfId="0" applyBorder="1" applyFont="1"/>
    <xf borderId="2" fillId="4" fontId="9" numFmtId="3" xfId="0" applyAlignment="1" applyBorder="1" applyFont="1" applyNumberFormat="1">
      <alignment readingOrder="0"/>
    </xf>
    <xf borderId="2" fillId="4" fontId="2" numFmtId="3" xfId="0" applyBorder="1" applyFont="1" applyNumberFormat="1"/>
    <xf borderId="2" fillId="4" fontId="2" numFmtId="0" xfId="0" applyBorder="1" applyFont="1"/>
    <xf borderId="2" fillId="4" fontId="9" numFmtId="0" xfId="0" applyAlignment="1" applyBorder="1" applyFont="1">
      <alignment readingOrder="0"/>
    </xf>
    <xf borderId="2" fillId="4" fontId="10" numFmtId="3" xfId="0" applyBorder="1" applyFont="1" applyNumberFormat="1"/>
    <xf borderId="1" fillId="5" fontId="8" numFmtId="0" xfId="0" applyAlignment="1" applyBorder="1" applyFill="1" applyFont="1">
      <alignment horizontal="center" textRotation="90" vertical="center"/>
    </xf>
    <xf borderId="2" fillId="5" fontId="4" numFmtId="14" xfId="0" applyAlignment="1" applyBorder="1" applyFont="1" applyNumberFormat="1">
      <alignment horizontal="center" readingOrder="0"/>
    </xf>
    <xf borderId="2" fillId="5" fontId="2" numFmtId="3" xfId="0" applyBorder="1" applyFont="1" applyNumberFormat="1"/>
    <xf borderId="2" fillId="5" fontId="1" numFmtId="3" xfId="0" applyBorder="1" applyFont="1" applyNumberFormat="1"/>
    <xf borderId="2" fillId="5" fontId="5" numFmtId="0" xfId="0" applyBorder="1" applyFont="1"/>
    <xf borderId="2" fillId="5" fontId="2" numFmtId="0" xfId="0" applyBorder="1" applyFont="1"/>
    <xf borderId="2" fillId="5" fontId="5" numFmtId="3" xfId="0" applyBorder="1" applyFont="1" applyNumberFormat="1"/>
    <xf borderId="2" fillId="5" fontId="4" numFmtId="3" xfId="0" applyAlignment="1" applyBorder="1" applyFont="1" applyNumberFormat="1">
      <alignment readingOrder="0"/>
    </xf>
    <xf borderId="2" fillId="5" fontId="4" numFmtId="0" xfId="0" applyAlignment="1" applyBorder="1" applyFont="1">
      <alignment readingOrder="0"/>
    </xf>
    <xf borderId="1" fillId="6" fontId="3" numFmtId="0" xfId="0" applyAlignment="1" applyBorder="1" applyFill="1" applyFont="1">
      <alignment horizontal="center" readingOrder="0" textRotation="90" vertical="center"/>
    </xf>
    <xf borderId="2" fillId="6" fontId="4" numFmtId="14" xfId="0" applyAlignment="1" applyBorder="1" applyFont="1" applyNumberFormat="1">
      <alignment horizontal="center" readingOrder="0"/>
    </xf>
    <xf borderId="2" fillId="6" fontId="5" numFmtId="3" xfId="0" applyBorder="1" applyFont="1" applyNumberFormat="1"/>
    <xf borderId="2" fillId="6" fontId="4" numFmtId="3" xfId="0" applyAlignment="1" applyBorder="1" applyFont="1" applyNumberFormat="1">
      <alignment readingOrder="0"/>
    </xf>
    <xf borderId="2" fillId="6" fontId="7" numFmtId="3" xfId="0" applyAlignment="1" applyBorder="1" applyFont="1" applyNumberFormat="1">
      <alignment readingOrder="0"/>
    </xf>
    <xf borderId="2" fillId="6" fontId="5" numFmtId="0" xfId="0" applyBorder="1" applyFont="1"/>
    <xf borderId="2" fillId="6" fontId="1" numFmtId="3" xfId="0" applyBorder="1" applyFont="1" applyNumberFormat="1"/>
    <xf borderId="2" fillId="6" fontId="2" numFmtId="3" xfId="0" applyBorder="1" applyFont="1" applyNumberFormat="1"/>
    <xf borderId="2" fillId="6" fontId="2" numFmtId="0" xfId="0" applyBorder="1" applyFont="1"/>
    <xf borderId="2" fillId="6" fontId="9" numFmtId="3" xfId="0" applyAlignment="1" applyBorder="1" applyFont="1" applyNumberFormat="1">
      <alignment readingOrder="0"/>
    </xf>
    <xf borderId="2" fillId="6" fontId="9" numFmtId="0" xfId="0" applyAlignment="1" applyBorder="1" applyFont="1">
      <alignment readingOrder="0"/>
    </xf>
    <xf borderId="2" fillId="6" fontId="10" numFmtId="3" xfId="0" applyBorder="1" applyFont="1" applyNumberFormat="1"/>
    <xf borderId="0" fillId="0" fontId="10" numFmtId="3" xfId="0" applyFont="1" applyNumberFormat="1"/>
    <xf borderId="0" fillId="0" fontId="9" numFmtId="3" xfId="0" applyAlignment="1" applyFont="1" applyNumberFormat="1">
      <alignment horizontal="center" readingOrder="0"/>
    </xf>
    <xf borderId="0" fillId="2" fontId="7" numFmtId="3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2" fillId="3" fontId="5" numFmtId="3" xfId="0" applyAlignment="1" applyBorder="1" applyFont="1" applyNumberFormat="1">
      <alignment readingOrder="0"/>
    </xf>
    <xf borderId="2" fillId="4" fontId="5" numFmtId="3" xfId="0" applyAlignment="1" applyBorder="1" applyFont="1" applyNumberFormat="1">
      <alignment readingOrder="0"/>
    </xf>
    <xf borderId="2" fillId="4" fontId="2" numFmtId="3" xfId="0" applyAlignment="1" applyBorder="1" applyFont="1" applyNumberFormat="1">
      <alignment readingOrder="0"/>
    </xf>
    <xf borderId="2" fillId="5" fontId="9" numFmtId="3" xfId="0" applyAlignment="1" applyBorder="1" applyFont="1" applyNumberFormat="1">
      <alignment readingOrder="0"/>
    </xf>
    <xf borderId="2" fillId="5" fontId="2" numFmtId="3" xfId="0" applyAlignment="1" applyBorder="1" applyFont="1" applyNumberFormat="1">
      <alignment readingOrder="0"/>
    </xf>
    <xf borderId="2" fillId="5" fontId="5" numFmtId="3" xfId="0" applyAlignment="1" applyBorder="1" applyFont="1" applyNumberFormat="1">
      <alignment readingOrder="0"/>
    </xf>
    <xf borderId="2" fillId="6" fontId="5" numFmtId="3" xfId="0" applyAlignment="1" applyBorder="1" applyFont="1" applyNumberFormat="1">
      <alignment readingOrder="0"/>
    </xf>
    <xf borderId="2" fillId="6" fontId="2" numFmtId="3" xfId="0" applyAlignment="1" applyBorder="1" applyFont="1" applyNumberFormat="1">
      <alignment readingOrder="0"/>
    </xf>
    <xf borderId="4" fillId="0" fontId="11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2" fillId="5" fontId="5" numFmtId="3" xfId="0" applyAlignment="1" applyBorder="1" applyFont="1" applyNumberFormat="1">
      <alignment horizontal="center" readingOrder="0"/>
    </xf>
    <xf borderId="0" fillId="0" fontId="9" numFmtId="0" xfId="0" applyAlignment="1" applyFont="1">
      <alignment readingOrder="0"/>
    </xf>
    <xf borderId="2" fillId="3" fontId="4" numFmtId="3" xfId="0" applyAlignment="1" applyBorder="1" applyFont="1" applyNumberFormat="1">
      <alignment horizontal="right" vertical="bottom"/>
    </xf>
    <xf borderId="3" fillId="0" fontId="11" numFmtId="0" xfId="0" applyAlignment="1" applyBorder="1" applyFont="1">
      <alignment horizontal="center" readingOrder="0" vertical="bottom"/>
    </xf>
    <xf borderId="2" fillId="3" fontId="4" numFmtId="3" xfId="0" applyAlignment="1" applyBorder="1" applyFont="1" applyNumberFormat="1">
      <alignment horizontal="right" readingOrder="0"/>
    </xf>
    <xf borderId="2" fillId="4" fontId="5" numFmtId="3" xfId="0" applyAlignment="1" applyBorder="1" applyFont="1" applyNumberFormat="1">
      <alignment horizontal="right" readingOrder="0"/>
    </xf>
    <xf borderId="2" fillId="4" fontId="9" numFmtId="3" xfId="0" applyAlignment="1" applyBorder="1" applyFont="1" applyNumberFormat="1">
      <alignment horizontal="right" readingOrder="0"/>
    </xf>
    <xf borderId="2" fillId="4" fontId="2" numFmtId="3" xfId="0" applyAlignment="1" applyBorder="1" applyFont="1" applyNumberFormat="1">
      <alignment horizontal="right" readingOrder="0"/>
    </xf>
    <xf borderId="0" fillId="0" fontId="11" numFmtId="0" xfId="0" applyAlignment="1" applyFont="1">
      <alignment horizontal="center" readingOrder="0" vertical="bottom"/>
    </xf>
    <xf borderId="2" fillId="5" fontId="2" numFmtId="3" xfId="0" applyAlignment="1" applyBorder="1" applyFont="1" applyNumberFormat="1">
      <alignment horizontal="center" readingOrder="0"/>
    </xf>
    <xf borderId="0" fillId="0" fontId="11" numFmtId="0" xfId="0" applyAlignment="1" applyFont="1">
      <alignment readingOrder="0"/>
    </xf>
    <xf borderId="0" fillId="0" fontId="9" numFmtId="0" xfId="0" applyAlignment="1" applyFont="1">
      <alignment horizontal="left" readingOrder="0"/>
    </xf>
    <xf borderId="0" fillId="0" fontId="2" numFmtId="3" xfId="0" applyAlignment="1" applyFont="1" applyNumberFormat="1">
      <alignment horizontal="left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657225</xdr:colOff>
      <xdr:row>2</xdr:row>
      <xdr:rowOff>152400</xdr:rowOff>
    </xdr:from>
    <xdr:ext cx="3943350" cy="39433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1" t="s">
        <v>0</v>
      </c>
      <c r="D1" s="2" t="s">
        <v>1</v>
      </c>
      <c r="E1" s="2" t="s">
        <v>2</v>
      </c>
      <c r="F1" s="2" t="s">
        <v>3</v>
      </c>
      <c r="G1" s="3"/>
      <c r="I1" s="3"/>
    </row>
    <row r="2">
      <c r="A2" s="4" t="s">
        <v>4</v>
      </c>
      <c r="B2" s="5">
        <v>46174.0</v>
      </c>
      <c r="C2" s="6"/>
      <c r="D2" s="6"/>
      <c r="E2" s="6"/>
      <c r="F2" s="6"/>
      <c r="G2" s="7">
        <f t="shared" ref="G2:G29" si="1">SUM(C2+D2+E2+F2)</f>
        <v>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/>
      <c r="D3" s="6"/>
      <c r="E3" s="6"/>
      <c r="F3" s="6"/>
      <c r="G3" s="7">
        <f t="shared" si="1"/>
        <v>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/>
      <c r="D4" s="6"/>
      <c r="E4" s="6"/>
      <c r="F4" s="9"/>
      <c r="G4" s="7">
        <f t="shared" si="1"/>
        <v>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0</v>
      </c>
      <c r="D30" s="45">
        <f t="shared" si="2"/>
        <v>0</v>
      </c>
      <c r="E30" s="45">
        <f t="shared" si="2"/>
        <v>0</v>
      </c>
      <c r="F30" s="45">
        <f t="shared" si="2"/>
        <v>0</v>
      </c>
      <c r="G30" s="45">
        <f t="shared" si="2"/>
        <v>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14</v>
      </c>
      <c r="D1" s="48" t="s">
        <v>15</v>
      </c>
      <c r="E1" s="48" t="s">
        <v>16</v>
      </c>
      <c r="F1" s="48" t="s">
        <v>17</v>
      </c>
      <c r="G1" s="3"/>
      <c r="I1" s="3"/>
    </row>
    <row r="2">
      <c r="A2" s="4" t="s">
        <v>4</v>
      </c>
      <c r="B2" s="5">
        <v>46174.0</v>
      </c>
      <c r="C2" s="6">
        <v>18455.0</v>
      </c>
      <c r="D2" s="6">
        <v>11745.0</v>
      </c>
      <c r="E2" s="6">
        <v>9213.0</v>
      </c>
      <c r="F2" s="6">
        <v>6908.0</v>
      </c>
      <c r="G2" s="7">
        <f t="shared" ref="G2:G29" si="1">SUM(C2+D2+E2+F2)</f>
        <v>46321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20222.0</v>
      </c>
      <c r="D3" s="6">
        <v>15925.0</v>
      </c>
      <c r="E3" s="6">
        <v>8237.0</v>
      </c>
      <c r="F3" s="6">
        <v>7653.0</v>
      </c>
      <c r="G3" s="7">
        <f t="shared" si="1"/>
        <v>52037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16000.0</v>
      </c>
      <c r="D4" s="6">
        <v>15458.0</v>
      </c>
      <c r="E4" s="6">
        <v>5940.0</v>
      </c>
      <c r="F4" s="49">
        <v>6789.0</v>
      </c>
      <c r="G4" s="7">
        <f t="shared" si="1"/>
        <v>44187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6967.0</v>
      </c>
      <c r="D5" s="6">
        <v>15955.0</v>
      </c>
      <c r="E5" s="49">
        <v>10138.0</v>
      </c>
      <c r="F5" s="49">
        <v>8735.0</v>
      </c>
      <c r="G5" s="7">
        <f t="shared" si="1"/>
        <v>41795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18354.0</v>
      </c>
      <c r="D6" s="6">
        <v>11366.0</v>
      </c>
      <c r="E6" s="6">
        <v>11025.0</v>
      </c>
      <c r="F6" s="6">
        <v>7975.0</v>
      </c>
      <c r="G6" s="7">
        <f t="shared" si="1"/>
        <v>48720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13187.0</v>
      </c>
      <c r="D7" s="6">
        <v>5000.0</v>
      </c>
      <c r="E7" s="6">
        <v>14331.0</v>
      </c>
      <c r="F7" s="6">
        <v>8846.0</v>
      </c>
      <c r="G7" s="7">
        <f t="shared" si="1"/>
        <v>41364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11101.0</v>
      </c>
      <c r="D8" s="6">
        <v>5500.0</v>
      </c>
      <c r="E8" s="49">
        <v>12331.0</v>
      </c>
      <c r="F8" s="6">
        <v>6708.0</v>
      </c>
      <c r="G8" s="7">
        <f t="shared" si="1"/>
        <v>35640</v>
      </c>
      <c r="H8" s="11" t="s">
        <v>5</v>
      </c>
      <c r="I8" s="12">
        <f>SUM(G2:G8)</f>
        <v>310064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17127.0</v>
      </c>
      <c r="D9" s="16">
        <v>5821.0</v>
      </c>
      <c r="E9" s="50">
        <v>9467.0</v>
      </c>
      <c r="F9" s="16">
        <v>11009.0</v>
      </c>
      <c r="G9" s="17">
        <f t="shared" si="1"/>
        <v>43424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9033.0</v>
      </c>
      <c r="D10" s="19">
        <v>6411.0</v>
      </c>
      <c r="E10" s="19">
        <v>9173.0</v>
      </c>
      <c r="F10" s="51">
        <v>8564.0</v>
      </c>
      <c r="G10" s="17">
        <f t="shared" si="1"/>
        <v>33181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18474.0</v>
      </c>
      <c r="D11" s="51">
        <v>6471.0</v>
      </c>
      <c r="E11" s="19">
        <v>6279.0</v>
      </c>
      <c r="F11" s="19">
        <v>7124.0</v>
      </c>
      <c r="G11" s="17">
        <f t="shared" si="1"/>
        <v>38348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11514.0</v>
      </c>
      <c r="D12" s="51">
        <v>5003.0</v>
      </c>
      <c r="E12" s="19">
        <v>13916.0</v>
      </c>
      <c r="F12" s="19">
        <v>10534.0</v>
      </c>
      <c r="G12" s="17">
        <f t="shared" si="1"/>
        <v>40967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15679.0</v>
      </c>
      <c r="D13" s="51">
        <v>3369.0</v>
      </c>
      <c r="E13" s="19">
        <v>8096.0</v>
      </c>
      <c r="F13" s="19">
        <v>8789.0</v>
      </c>
      <c r="G13" s="17">
        <f t="shared" si="1"/>
        <v>35933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9533.0</v>
      </c>
      <c r="D14" s="51">
        <v>9406.0</v>
      </c>
      <c r="E14" s="19">
        <v>12796.0</v>
      </c>
      <c r="F14" s="19">
        <v>6564.0</v>
      </c>
      <c r="G14" s="17">
        <f t="shared" si="1"/>
        <v>38299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7753.0</v>
      </c>
      <c r="D15" s="51">
        <v>6872.0</v>
      </c>
      <c r="E15" s="19">
        <v>9413.0</v>
      </c>
      <c r="F15" s="19">
        <v>9385.0</v>
      </c>
      <c r="G15" s="17">
        <f t="shared" si="1"/>
        <v>33423</v>
      </c>
      <c r="H15" s="22" t="s">
        <v>5</v>
      </c>
      <c r="I15" s="23">
        <f>SUM(G9:G15)</f>
        <v>263575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15840.0</v>
      </c>
      <c r="D16" s="53">
        <v>11822.0</v>
      </c>
      <c r="E16" s="52">
        <v>6245.0</v>
      </c>
      <c r="F16" s="52">
        <v>10008.0</v>
      </c>
      <c r="G16" s="27">
        <f t="shared" si="1"/>
        <v>43915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7618.0</v>
      </c>
      <c r="D17" s="54">
        <v>11527.0</v>
      </c>
      <c r="E17" s="31">
        <v>14158.0</v>
      </c>
      <c r="F17" s="31">
        <v>8124.0</v>
      </c>
      <c r="G17" s="27">
        <f t="shared" si="1"/>
        <v>41427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17194.0</v>
      </c>
      <c r="D18" s="54">
        <v>14494.0</v>
      </c>
      <c r="E18" s="31">
        <v>6789.0</v>
      </c>
      <c r="F18" s="31">
        <v>4673.0</v>
      </c>
      <c r="G18" s="27">
        <f t="shared" si="1"/>
        <v>43150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12435.0</v>
      </c>
      <c r="D19" s="54">
        <v>6529.0</v>
      </c>
      <c r="E19" s="31">
        <v>14902.0</v>
      </c>
      <c r="F19" s="31">
        <v>5727.0</v>
      </c>
      <c r="G19" s="27">
        <f t="shared" si="1"/>
        <v>39593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11673.0</v>
      </c>
      <c r="D20" s="54">
        <v>11209.0</v>
      </c>
      <c r="E20" s="31">
        <v>9298.0</v>
      </c>
      <c r="F20" s="31">
        <v>10752.0</v>
      </c>
      <c r="G20" s="27">
        <f t="shared" si="1"/>
        <v>42932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6099.0</v>
      </c>
      <c r="D21" s="54">
        <v>5885.0</v>
      </c>
      <c r="E21" s="31">
        <v>15243.0</v>
      </c>
      <c r="F21" s="31">
        <v>8249.0</v>
      </c>
      <c r="G21" s="27">
        <f t="shared" si="1"/>
        <v>35476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11770.0</v>
      </c>
      <c r="D22" s="54">
        <v>9113.0</v>
      </c>
      <c r="E22" s="31">
        <v>9482.0</v>
      </c>
      <c r="F22" s="31">
        <v>11721.0</v>
      </c>
      <c r="G22" s="27">
        <f t="shared" si="1"/>
        <v>42086</v>
      </c>
      <c r="H22" s="32" t="s">
        <v>5</v>
      </c>
      <c r="I22" s="27">
        <f>SUM(G16:G22)</f>
        <v>288579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6">
        <v>13955.0</v>
      </c>
      <c r="D23" s="55">
        <v>10932.0</v>
      </c>
      <c r="E23" s="36">
        <v>9731.0</v>
      </c>
      <c r="F23" s="36">
        <v>9806.0</v>
      </c>
      <c r="G23" s="39">
        <f t="shared" si="1"/>
        <v>44424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13545.0</v>
      </c>
      <c r="D24" s="56">
        <v>8276.0</v>
      </c>
      <c r="E24" s="42">
        <v>12912.0</v>
      </c>
      <c r="F24" s="42">
        <v>10039.0</v>
      </c>
      <c r="G24" s="39">
        <f t="shared" si="1"/>
        <v>44772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9583.0</v>
      </c>
      <c r="D25" s="56">
        <v>21834.0</v>
      </c>
      <c r="E25" s="42">
        <v>10011.0</v>
      </c>
      <c r="F25" s="40"/>
      <c r="G25" s="39">
        <f t="shared" si="1"/>
        <v>41428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9033.0</v>
      </c>
      <c r="D26" s="56">
        <v>12816.0</v>
      </c>
      <c r="E26" s="42">
        <v>9423.0</v>
      </c>
      <c r="F26" s="40"/>
      <c r="G26" s="39">
        <f t="shared" si="1"/>
        <v>31272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16163.0</v>
      </c>
      <c r="D27" s="56">
        <v>10207.0</v>
      </c>
      <c r="E27" s="42">
        <v>9542.0</v>
      </c>
      <c r="F27" s="40"/>
      <c r="G27" s="39">
        <f t="shared" si="1"/>
        <v>35912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8208.0</v>
      </c>
      <c r="D28" s="56">
        <v>12602.0</v>
      </c>
      <c r="E28" s="42">
        <v>12131.0</v>
      </c>
      <c r="F28" s="40"/>
      <c r="G28" s="39">
        <f t="shared" si="1"/>
        <v>32941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13024.0</v>
      </c>
      <c r="D29" s="56">
        <v>7639.0</v>
      </c>
      <c r="E29" s="42">
        <v>6024.0</v>
      </c>
      <c r="F29" s="40"/>
      <c r="G29" s="39">
        <f t="shared" si="1"/>
        <v>26687</v>
      </c>
      <c r="H29" s="43" t="s">
        <v>5</v>
      </c>
      <c r="I29" s="44">
        <f>SUM(G23:G29)</f>
        <v>257436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359539</v>
      </c>
      <c r="D30" s="45">
        <f t="shared" si="2"/>
        <v>279187</v>
      </c>
      <c r="E30" s="45">
        <f t="shared" si="2"/>
        <v>286246</v>
      </c>
      <c r="F30" s="45">
        <f t="shared" si="2"/>
        <v>194682</v>
      </c>
      <c r="G30" s="45">
        <f t="shared" si="2"/>
        <v>1119654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19</v>
      </c>
      <c r="D31" s="46" t="s">
        <v>20</v>
      </c>
      <c r="E31" s="46" t="s">
        <v>21</v>
      </c>
      <c r="F31" s="46" t="s">
        <v>22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>
      <c r="C934" s="3"/>
      <c r="D934" s="3"/>
      <c r="E934" s="3"/>
      <c r="F934" s="3"/>
      <c r="G934" s="3"/>
      <c r="I934" s="3"/>
    </row>
    <row r="935">
      <c r="C935" s="3"/>
      <c r="D935" s="3"/>
      <c r="E935" s="3"/>
      <c r="F935" s="3"/>
      <c r="G935" s="3"/>
      <c r="I935" s="3"/>
    </row>
    <row r="936">
      <c r="C936" s="3"/>
      <c r="D936" s="3"/>
      <c r="E936" s="3"/>
      <c r="F936" s="3"/>
      <c r="G936" s="3"/>
      <c r="I936" s="3"/>
    </row>
    <row r="937">
      <c r="C937" s="3"/>
      <c r="D937" s="3"/>
      <c r="E937" s="3"/>
      <c r="F937" s="3"/>
      <c r="G937" s="3"/>
      <c r="I937" s="3"/>
    </row>
    <row r="938">
      <c r="C938" s="3"/>
      <c r="D938" s="3"/>
      <c r="E938" s="3"/>
      <c r="F938" s="3"/>
      <c r="G938" s="3"/>
      <c r="I938" s="3"/>
    </row>
    <row r="939">
      <c r="C939" s="3"/>
      <c r="D939" s="3"/>
      <c r="E939" s="3"/>
      <c r="F939" s="3"/>
      <c r="G939" s="3"/>
      <c r="I939" s="3"/>
    </row>
    <row r="940">
      <c r="C940" s="3"/>
      <c r="D940" s="3"/>
      <c r="E940" s="3"/>
      <c r="F940" s="3"/>
      <c r="G940" s="3"/>
      <c r="I940" s="3"/>
    </row>
    <row r="941">
      <c r="C941" s="3"/>
      <c r="D941" s="3"/>
      <c r="E941" s="3"/>
      <c r="F941" s="3"/>
      <c r="G941" s="3"/>
      <c r="I941" s="3"/>
    </row>
    <row r="942">
      <c r="C942" s="3"/>
      <c r="D942" s="3"/>
      <c r="E942" s="3"/>
      <c r="F942" s="3"/>
      <c r="G942" s="3"/>
      <c r="I942" s="3"/>
    </row>
    <row r="943">
      <c r="C943" s="3"/>
      <c r="D943" s="3"/>
      <c r="E943" s="3"/>
      <c r="F943" s="3"/>
      <c r="G943" s="3"/>
      <c r="I943" s="3"/>
    </row>
    <row r="944">
      <c r="C944" s="3"/>
      <c r="D944" s="3"/>
      <c r="E944" s="3"/>
      <c r="F944" s="3"/>
      <c r="G944" s="3"/>
      <c r="I944" s="3"/>
    </row>
    <row r="945">
      <c r="C945" s="3"/>
      <c r="D945" s="3"/>
      <c r="E945" s="3"/>
      <c r="F945" s="3"/>
      <c r="G945" s="3"/>
      <c r="I945" s="3"/>
    </row>
    <row r="946">
      <c r="C946" s="3"/>
      <c r="D946" s="3"/>
      <c r="E946" s="3"/>
      <c r="F946" s="3"/>
      <c r="G946" s="3"/>
      <c r="I946" s="3"/>
    </row>
    <row r="947">
      <c r="C947" s="3"/>
      <c r="D947" s="3"/>
      <c r="E947" s="3"/>
      <c r="F947" s="3"/>
      <c r="G947" s="3"/>
      <c r="I947" s="3"/>
    </row>
    <row r="948">
      <c r="C948" s="3"/>
      <c r="D948" s="3"/>
      <c r="E948" s="3"/>
      <c r="F948" s="3"/>
      <c r="G948" s="3"/>
      <c r="I948" s="3"/>
    </row>
    <row r="949">
      <c r="C949" s="3"/>
      <c r="D949" s="3"/>
      <c r="E949" s="3"/>
      <c r="F949" s="3"/>
      <c r="G949" s="3"/>
      <c r="I949" s="3"/>
    </row>
    <row r="950">
      <c r="C950" s="3"/>
      <c r="D950" s="3"/>
      <c r="E950" s="3"/>
      <c r="F950" s="3"/>
      <c r="G950" s="3"/>
      <c r="I950" s="3"/>
    </row>
    <row r="951">
      <c r="C951" s="3"/>
      <c r="D951" s="3"/>
      <c r="E951" s="3"/>
      <c r="F951" s="3"/>
      <c r="G951" s="3"/>
      <c r="I951" s="3"/>
    </row>
    <row r="952">
      <c r="C952" s="3"/>
      <c r="D952" s="3"/>
      <c r="E952" s="3"/>
      <c r="F952" s="3"/>
      <c r="G952" s="3"/>
      <c r="I952" s="3"/>
    </row>
    <row r="953">
      <c r="C953" s="3"/>
      <c r="D953" s="3"/>
      <c r="E953" s="3"/>
      <c r="F953" s="3"/>
      <c r="G953" s="3"/>
      <c r="I953" s="3"/>
    </row>
    <row r="954">
      <c r="C954" s="3"/>
      <c r="D954" s="3"/>
      <c r="E954" s="3"/>
      <c r="F954" s="3"/>
      <c r="G954" s="3"/>
      <c r="I954" s="3"/>
    </row>
    <row r="955">
      <c r="C955" s="3"/>
      <c r="D955" s="3"/>
      <c r="E955" s="3"/>
      <c r="F955" s="3"/>
      <c r="G955" s="3"/>
      <c r="I955" s="3"/>
    </row>
    <row r="956">
      <c r="C956" s="3"/>
      <c r="D956" s="3"/>
      <c r="E956" s="3"/>
      <c r="F956" s="3"/>
      <c r="G956" s="3"/>
      <c r="I956" s="3"/>
    </row>
    <row r="957">
      <c r="C957" s="3"/>
      <c r="D957" s="3"/>
      <c r="E957" s="3"/>
      <c r="F957" s="3"/>
      <c r="G957" s="3"/>
      <c r="I957" s="3"/>
    </row>
    <row r="958">
      <c r="C958" s="3"/>
      <c r="D958" s="3"/>
      <c r="E958" s="3"/>
      <c r="F958" s="3"/>
      <c r="G958" s="3"/>
      <c r="I958" s="3"/>
    </row>
    <row r="959">
      <c r="C959" s="3"/>
      <c r="D959" s="3"/>
      <c r="E959" s="3"/>
      <c r="F959" s="3"/>
      <c r="G959" s="3"/>
      <c r="I959" s="3"/>
    </row>
    <row r="960">
      <c r="C960" s="3"/>
      <c r="D960" s="3"/>
      <c r="E960" s="3"/>
      <c r="F960" s="3"/>
      <c r="G960" s="3"/>
      <c r="I960" s="3"/>
    </row>
    <row r="961">
      <c r="C961" s="3"/>
      <c r="D961" s="3"/>
      <c r="E961" s="3"/>
      <c r="F961" s="3"/>
      <c r="G961" s="3"/>
      <c r="I961" s="3"/>
    </row>
    <row r="962">
      <c r="C962" s="3"/>
      <c r="D962" s="3"/>
      <c r="E962" s="3"/>
      <c r="F962" s="3"/>
      <c r="G962" s="3"/>
      <c r="I962" s="3"/>
    </row>
    <row r="963">
      <c r="C963" s="3"/>
      <c r="D963" s="3"/>
      <c r="E963" s="3"/>
      <c r="F963" s="3"/>
      <c r="G963" s="3"/>
      <c r="I963" s="3"/>
    </row>
    <row r="964">
      <c r="C964" s="3"/>
      <c r="D964" s="3"/>
      <c r="E964" s="3"/>
      <c r="F964" s="3"/>
      <c r="G964" s="3"/>
      <c r="I964" s="3"/>
    </row>
    <row r="965">
      <c r="C965" s="3"/>
      <c r="D965" s="3"/>
      <c r="E965" s="3"/>
      <c r="F965" s="3"/>
      <c r="G965" s="3"/>
      <c r="I965" s="3"/>
    </row>
    <row r="966">
      <c r="C966" s="3"/>
      <c r="D966" s="3"/>
      <c r="E966" s="3"/>
      <c r="F966" s="3"/>
      <c r="G966" s="3"/>
      <c r="I966" s="3"/>
    </row>
    <row r="967">
      <c r="C967" s="3"/>
      <c r="D967" s="3"/>
      <c r="E967" s="3"/>
      <c r="F967" s="3"/>
      <c r="G967" s="3"/>
      <c r="I967" s="3"/>
    </row>
    <row r="968">
      <c r="C968" s="3"/>
      <c r="D968" s="3"/>
      <c r="E968" s="3"/>
      <c r="F968" s="3"/>
      <c r="G968" s="3"/>
      <c r="I968" s="3"/>
    </row>
    <row r="969">
      <c r="C969" s="3"/>
      <c r="D969" s="3"/>
      <c r="E969" s="3"/>
      <c r="F969" s="3"/>
      <c r="G969" s="3"/>
      <c r="I969" s="3"/>
    </row>
    <row r="970">
      <c r="C970" s="3"/>
      <c r="D970" s="3"/>
      <c r="E970" s="3"/>
      <c r="F970" s="3"/>
      <c r="G970" s="3"/>
      <c r="I970" s="3"/>
    </row>
    <row r="971">
      <c r="C971" s="3"/>
      <c r="D971" s="3"/>
      <c r="E971" s="3"/>
      <c r="F971" s="3"/>
      <c r="G971" s="3"/>
      <c r="I971" s="3"/>
    </row>
    <row r="972">
      <c r="C972" s="3"/>
      <c r="D972" s="3"/>
      <c r="E972" s="3"/>
      <c r="F972" s="3"/>
      <c r="G972" s="3"/>
      <c r="I972" s="3"/>
    </row>
    <row r="973">
      <c r="C973" s="3"/>
      <c r="D973" s="3"/>
      <c r="E973" s="3"/>
      <c r="F973" s="3"/>
      <c r="G973" s="3"/>
      <c r="I973" s="3"/>
    </row>
    <row r="974">
      <c r="C974" s="3"/>
      <c r="D974" s="3"/>
      <c r="E974" s="3"/>
      <c r="F974" s="3"/>
      <c r="G974" s="3"/>
      <c r="I974" s="3"/>
    </row>
    <row r="975">
      <c r="C975" s="3"/>
      <c r="D975" s="3"/>
      <c r="E975" s="3"/>
      <c r="F975" s="3"/>
      <c r="G975" s="3"/>
      <c r="I975" s="3"/>
    </row>
    <row r="976">
      <c r="C976" s="3"/>
      <c r="D976" s="3"/>
      <c r="E976" s="3"/>
      <c r="F976" s="3"/>
      <c r="G976" s="3"/>
      <c r="I976" s="3"/>
    </row>
    <row r="977">
      <c r="C977" s="3"/>
      <c r="D977" s="3"/>
      <c r="E977" s="3"/>
      <c r="F977" s="3"/>
      <c r="G977" s="3"/>
      <c r="I977" s="3"/>
    </row>
    <row r="978">
      <c r="C978" s="3"/>
      <c r="D978" s="3"/>
      <c r="E978" s="3"/>
      <c r="F978" s="3"/>
      <c r="G978" s="3"/>
      <c r="I978" s="3"/>
    </row>
    <row r="979">
      <c r="C979" s="3"/>
      <c r="D979" s="3"/>
      <c r="E979" s="3"/>
      <c r="F979" s="3"/>
      <c r="G979" s="3"/>
      <c r="I979" s="3"/>
    </row>
    <row r="980">
      <c r="C980" s="3"/>
      <c r="D980" s="3"/>
      <c r="E980" s="3"/>
      <c r="F980" s="3"/>
      <c r="G980" s="3"/>
      <c r="I980" s="3"/>
    </row>
    <row r="981">
      <c r="C981" s="3"/>
      <c r="D981" s="3"/>
      <c r="E981" s="3"/>
      <c r="F981" s="3"/>
      <c r="G981" s="3"/>
      <c r="I981" s="3"/>
    </row>
    <row r="982">
      <c r="C982" s="3"/>
      <c r="D982" s="3"/>
      <c r="E982" s="3"/>
      <c r="F982" s="3"/>
      <c r="G982" s="3"/>
      <c r="I982" s="3"/>
    </row>
    <row r="983">
      <c r="C983" s="3"/>
      <c r="D983" s="3"/>
      <c r="E983" s="3"/>
      <c r="F983" s="3"/>
      <c r="G983" s="3"/>
      <c r="I983" s="3"/>
    </row>
    <row r="984">
      <c r="C984" s="3"/>
      <c r="D984" s="3"/>
      <c r="E984" s="3"/>
      <c r="F984" s="3"/>
      <c r="G984" s="3"/>
      <c r="I984" s="3"/>
    </row>
    <row r="985">
      <c r="C985" s="3"/>
      <c r="D985" s="3"/>
      <c r="E985" s="3"/>
      <c r="F985" s="3"/>
      <c r="G985" s="3"/>
      <c r="I985" s="3"/>
    </row>
    <row r="986">
      <c r="C986" s="3"/>
      <c r="D986" s="3"/>
      <c r="E986" s="3"/>
      <c r="F986" s="3"/>
      <c r="G986" s="3"/>
      <c r="I986" s="3"/>
    </row>
    <row r="987">
      <c r="C987" s="3"/>
      <c r="D987" s="3"/>
      <c r="E987" s="3"/>
      <c r="F987" s="3"/>
      <c r="G987" s="3"/>
      <c r="I987" s="3"/>
    </row>
    <row r="988">
      <c r="C988" s="3"/>
      <c r="D988" s="3"/>
      <c r="E988" s="3"/>
      <c r="F988" s="3"/>
      <c r="G988" s="3"/>
      <c r="I988" s="3"/>
    </row>
    <row r="989">
      <c r="C989" s="3"/>
      <c r="D989" s="3"/>
      <c r="E989" s="3"/>
      <c r="F989" s="3"/>
      <c r="G989" s="3"/>
      <c r="I989" s="3"/>
    </row>
    <row r="990">
      <c r="C990" s="3"/>
      <c r="D990" s="3"/>
      <c r="E990" s="3"/>
      <c r="F990" s="3"/>
      <c r="G990" s="3"/>
      <c r="I990" s="3"/>
    </row>
    <row r="991">
      <c r="C991" s="3"/>
      <c r="D991" s="3"/>
      <c r="E991" s="3"/>
      <c r="F991" s="3"/>
      <c r="G991" s="3"/>
      <c r="I991" s="3"/>
    </row>
    <row r="992">
      <c r="C992" s="3"/>
      <c r="D992" s="3"/>
      <c r="E992" s="3"/>
      <c r="F992" s="3"/>
      <c r="G992" s="3"/>
      <c r="I992" s="3"/>
    </row>
    <row r="993">
      <c r="C993" s="3"/>
      <c r="D993" s="3"/>
      <c r="E993" s="3"/>
      <c r="F993" s="3"/>
      <c r="G993" s="3"/>
      <c r="I993" s="3"/>
    </row>
    <row r="994">
      <c r="C994" s="3"/>
      <c r="D994" s="3"/>
      <c r="E994" s="3"/>
      <c r="F994" s="3"/>
      <c r="G994" s="3"/>
      <c r="I994" s="3"/>
    </row>
    <row r="995">
      <c r="C995" s="3"/>
      <c r="D995" s="3"/>
      <c r="E995" s="3"/>
      <c r="F995" s="3"/>
      <c r="G995" s="3"/>
      <c r="I995" s="3"/>
    </row>
    <row r="996">
      <c r="C996" s="3"/>
      <c r="D996" s="3"/>
      <c r="E996" s="3"/>
      <c r="F996" s="3"/>
      <c r="G996" s="3"/>
      <c r="I996" s="3"/>
    </row>
    <row r="997">
      <c r="C997" s="3"/>
      <c r="D997" s="3"/>
      <c r="E997" s="3"/>
      <c r="F997" s="3"/>
      <c r="G997" s="3"/>
      <c r="I997" s="3"/>
    </row>
    <row r="998">
      <c r="C998" s="3"/>
      <c r="D998" s="3"/>
      <c r="E998" s="3"/>
      <c r="F998" s="3"/>
      <c r="G998" s="3"/>
      <c r="I998" s="3"/>
    </row>
    <row r="999">
      <c r="C999" s="3"/>
      <c r="D999" s="3"/>
      <c r="E999" s="3"/>
      <c r="F999" s="3"/>
      <c r="G999" s="3"/>
      <c r="I999" s="3"/>
    </row>
    <row r="1000">
      <c r="C1000" s="3"/>
      <c r="D1000" s="3"/>
      <c r="E1000" s="3"/>
      <c r="F1000" s="3"/>
      <c r="G1000" s="3"/>
      <c r="I1000" s="3"/>
    </row>
    <row r="1001">
      <c r="C1001" s="3"/>
      <c r="D1001" s="3"/>
      <c r="E1001" s="3"/>
      <c r="F1001" s="3"/>
      <c r="G1001" s="3"/>
      <c r="I1001" s="3"/>
    </row>
  </sheetData>
  <mergeCells count="4">
    <mergeCell ref="A2:A8"/>
    <mergeCell ref="A9:A15"/>
    <mergeCell ref="A16:A22"/>
    <mergeCell ref="A23:A2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23</v>
      </c>
      <c r="D1" s="48" t="s">
        <v>24</v>
      </c>
      <c r="E1" s="48" t="s">
        <v>25</v>
      </c>
      <c r="F1" s="48" t="s">
        <v>26</v>
      </c>
      <c r="G1" s="3"/>
      <c r="I1" s="3"/>
    </row>
    <row r="2">
      <c r="A2" s="4" t="s">
        <v>4</v>
      </c>
      <c r="B2" s="5">
        <v>46174.0</v>
      </c>
      <c r="C2" s="6">
        <v>5927.0</v>
      </c>
      <c r="D2" s="6">
        <v>10482.0</v>
      </c>
      <c r="E2" s="6">
        <v>11558.0</v>
      </c>
      <c r="F2" s="6">
        <v>10547.0</v>
      </c>
      <c r="G2" s="7">
        <f t="shared" ref="G2:G29" si="1">SUM(C2+D2+E2+F2)</f>
        <v>38514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7010.0</v>
      </c>
      <c r="D3" s="6">
        <v>11345.0</v>
      </c>
      <c r="E3" s="6">
        <v>12151.0</v>
      </c>
      <c r="F3" s="6">
        <v>10201.0</v>
      </c>
      <c r="G3" s="7">
        <f t="shared" si="1"/>
        <v>40707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6784.0</v>
      </c>
      <c r="D4" s="6">
        <v>13402.0</v>
      </c>
      <c r="E4" s="6">
        <v>13426.0</v>
      </c>
      <c r="F4" s="6">
        <v>10468.0</v>
      </c>
      <c r="G4" s="7">
        <f t="shared" si="1"/>
        <v>44080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5253.0</v>
      </c>
      <c r="D5" s="6">
        <v>12120.0</v>
      </c>
      <c r="E5" s="6">
        <v>10955.0</v>
      </c>
      <c r="F5" s="6">
        <v>10613.0</v>
      </c>
      <c r="G5" s="7">
        <f t="shared" si="1"/>
        <v>38941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6292.0</v>
      </c>
      <c r="D6" s="6">
        <v>8559.0</v>
      </c>
      <c r="E6" s="6">
        <v>14600.0</v>
      </c>
      <c r="F6" s="6">
        <v>9023.0</v>
      </c>
      <c r="G6" s="7">
        <f t="shared" si="1"/>
        <v>38474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7799.0</v>
      </c>
      <c r="D7" s="6">
        <v>18059.0</v>
      </c>
      <c r="E7" s="6">
        <v>8977.0</v>
      </c>
      <c r="F7" s="6">
        <v>13389.0</v>
      </c>
      <c r="G7" s="7">
        <f t="shared" si="1"/>
        <v>48224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6447.0</v>
      </c>
      <c r="D8" s="6">
        <v>10201.0</v>
      </c>
      <c r="E8" s="6">
        <v>10855.0</v>
      </c>
      <c r="F8" s="6">
        <v>12734.0</v>
      </c>
      <c r="G8" s="7">
        <f t="shared" si="1"/>
        <v>40237</v>
      </c>
      <c r="H8" s="11" t="s">
        <v>5</v>
      </c>
      <c r="I8" s="12">
        <f>SUM(G2:G8)</f>
        <v>289177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6987.0</v>
      </c>
      <c r="D9" s="16">
        <v>10107.0</v>
      </c>
      <c r="E9" s="16">
        <v>17837.0</v>
      </c>
      <c r="F9" s="16">
        <v>10180.0</v>
      </c>
      <c r="G9" s="17">
        <f t="shared" si="1"/>
        <v>45111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10201.0</v>
      </c>
      <c r="D10" s="19">
        <v>14595.0</v>
      </c>
      <c r="E10" s="19">
        <v>14810.0</v>
      </c>
      <c r="F10" s="19">
        <v>10437.0</v>
      </c>
      <c r="G10" s="17">
        <f t="shared" si="1"/>
        <v>50043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5770.0</v>
      </c>
      <c r="D11" s="19">
        <v>12744.0</v>
      </c>
      <c r="E11" s="19">
        <v>17872.0</v>
      </c>
      <c r="F11" s="19">
        <v>10867.0</v>
      </c>
      <c r="G11" s="17">
        <f t="shared" si="1"/>
        <v>47253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6747.0</v>
      </c>
      <c r="D12" s="19">
        <v>10949.0</v>
      </c>
      <c r="E12" s="19">
        <v>11277.0</v>
      </c>
      <c r="F12" s="19">
        <v>6027.0</v>
      </c>
      <c r="G12" s="17">
        <f t="shared" si="1"/>
        <v>35000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4225.0</v>
      </c>
      <c r="D13" s="19">
        <v>10642.0</v>
      </c>
      <c r="E13" s="19">
        <v>12703.0</v>
      </c>
      <c r="F13" s="19">
        <v>10242.0</v>
      </c>
      <c r="G13" s="17">
        <f t="shared" si="1"/>
        <v>37812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7651.0</v>
      </c>
      <c r="D14" s="19">
        <v>16958.0</v>
      </c>
      <c r="E14" s="19">
        <v>3567.0</v>
      </c>
      <c r="F14" s="19">
        <v>11239.0</v>
      </c>
      <c r="G14" s="17">
        <f t="shared" si="1"/>
        <v>39415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9366.0</v>
      </c>
      <c r="D15" s="19">
        <v>9952.0</v>
      </c>
      <c r="E15" s="19">
        <v>8371.0</v>
      </c>
      <c r="F15" s="19">
        <v>11704.0</v>
      </c>
      <c r="G15" s="17">
        <f t="shared" si="1"/>
        <v>39393</v>
      </c>
      <c r="H15" s="22" t="s">
        <v>5</v>
      </c>
      <c r="I15" s="23">
        <f>SUM(G9:G15)</f>
        <v>294027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6033.0</v>
      </c>
      <c r="D16" s="52">
        <v>10626.0</v>
      </c>
      <c r="E16" s="52">
        <v>15269.0</v>
      </c>
      <c r="F16" s="52">
        <v>9716.0</v>
      </c>
      <c r="G16" s="27">
        <f t="shared" si="1"/>
        <v>41644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2683.0</v>
      </c>
      <c r="D17" s="31">
        <v>14096.0</v>
      </c>
      <c r="E17" s="31">
        <v>9998.0</v>
      </c>
      <c r="F17" s="31">
        <v>9019.0</v>
      </c>
      <c r="G17" s="27">
        <f t="shared" si="1"/>
        <v>35796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5435.0</v>
      </c>
      <c r="D18" s="31">
        <v>11970.0</v>
      </c>
      <c r="E18" s="31">
        <v>6108.0</v>
      </c>
      <c r="F18" s="31">
        <v>10135.0</v>
      </c>
      <c r="G18" s="27">
        <f t="shared" si="1"/>
        <v>33648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5613.0</v>
      </c>
      <c r="D19" s="31">
        <v>14904.0</v>
      </c>
      <c r="E19" s="31">
        <v>12104.0</v>
      </c>
      <c r="F19" s="31">
        <v>7144.0</v>
      </c>
      <c r="G19" s="27">
        <f t="shared" si="1"/>
        <v>39765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6189.0</v>
      </c>
      <c r="D20" s="31">
        <v>9043.0</v>
      </c>
      <c r="E20" s="31">
        <v>9615.0</v>
      </c>
      <c r="F20" s="31">
        <v>10029.0</v>
      </c>
      <c r="G20" s="27">
        <f t="shared" si="1"/>
        <v>34876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5099.0</v>
      </c>
      <c r="D21" s="31">
        <v>12497.0</v>
      </c>
      <c r="E21" s="31">
        <v>12381.0</v>
      </c>
      <c r="F21" s="31">
        <v>11365.0</v>
      </c>
      <c r="G21" s="27">
        <f t="shared" si="1"/>
        <v>41342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6091.0</v>
      </c>
      <c r="D22" s="31">
        <v>12849.0</v>
      </c>
      <c r="E22" s="31">
        <v>10138.0</v>
      </c>
      <c r="F22" s="31">
        <v>10313.0</v>
      </c>
      <c r="G22" s="27">
        <f t="shared" si="1"/>
        <v>39391</v>
      </c>
      <c r="H22" s="32" t="s">
        <v>5</v>
      </c>
      <c r="I22" s="27">
        <f>SUM(G16:G22)</f>
        <v>266462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6">
        <v>7099.0</v>
      </c>
      <c r="D23" s="36">
        <v>9479.0</v>
      </c>
      <c r="E23" s="36">
        <v>10227.0</v>
      </c>
      <c r="F23" s="36">
        <v>10060.0</v>
      </c>
      <c r="G23" s="37">
        <f t="shared" si="1"/>
        <v>36865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3504.0</v>
      </c>
      <c r="D24" s="42">
        <v>9027.0</v>
      </c>
      <c r="E24" s="42">
        <v>15497.0</v>
      </c>
      <c r="F24" s="42">
        <v>8898.0</v>
      </c>
      <c r="G24" s="39">
        <f t="shared" si="1"/>
        <v>36926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4104.0</v>
      </c>
      <c r="D25" s="42">
        <v>13416.0</v>
      </c>
      <c r="E25" s="42">
        <v>15674.0</v>
      </c>
      <c r="F25" s="42">
        <v>10046.0</v>
      </c>
      <c r="G25" s="39">
        <f t="shared" si="1"/>
        <v>43240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4420.0</v>
      </c>
      <c r="D26" s="42">
        <v>13553.0</v>
      </c>
      <c r="E26" s="42">
        <v>14080.0</v>
      </c>
      <c r="F26" s="42">
        <v>10722.0</v>
      </c>
      <c r="G26" s="39">
        <f t="shared" si="1"/>
        <v>42775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5250.0</v>
      </c>
      <c r="D27" s="42">
        <v>16255.0</v>
      </c>
      <c r="E27" s="42">
        <v>9090.0</v>
      </c>
      <c r="F27" s="42">
        <v>10918.0</v>
      </c>
      <c r="G27" s="39">
        <f t="shared" si="1"/>
        <v>41513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8191.0</v>
      </c>
      <c r="D28" s="42">
        <v>16701.0</v>
      </c>
      <c r="E28" s="42">
        <v>8493.0</v>
      </c>
      <c r="F28" s="42">
        <v>6730.0</v>
      </c>
      <c r="G28" s="39">
        <f t="shared" si="1"/>
        <v>40115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8952.0</v>
      </c>
      <c r="D29" s="42">
        <v>11124.0</v>
      </c>
      <c r="E29" s="42">
        <v>8452.0</v>
      </c>
      <c r="F29" s="42">
        <v>5300.0</v>
      </c>
      <c r="G29" s="39">
        <f t="shared" si="1"/>
        <v>33828</v>
      </c>
      <c r="H29" s="43" t="s">
        <v>5</v>
      </c>
      <c r="I29" s="44">
        <f>SUM(G23:G29)</f>
        <v>275262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175122</v>
      </c>
      <c r="D30" s="45">
        <f t="shared" si="2"/>
        <v>345655</v>
      </c>
      <c r="E30" s="45">
        <f t="shared" si="2"/>
        <v>326085</v>
      </c>
      <c r="F30" s="45">
        <f t="shared" si="2"/>
        <v>278066</v>
      </c>
      <c r="G30" s="45">
        <f t="shared" si="2"/>
        <v>1124928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27</v>
      </c>
      <c r="D1" s="48" t="s">
        <v>28</v>
      </c>
      <c r="E1" s="48" t="s">
        <v>29</v>
      </c>
      <c r="F1" s="48" t="s">
        <v>30</v>
      </c>
      <c r="G1" s="3"/>
      <c r="I1" s="3"/>
    </row>
    <row r="2">
      <c r="A2" s="4" t="s">
        <v>4</v>
      </c>
      <c r="B2" s="5">
        <v>46174.0</v>
      </c>
      <c r="C2" s="6">
        <v>13197.0</v>
      </c>
      <c r="D2" s="6">
        <v>18502.0</v>
      </c>
      <c r="E2" s="6">
        <v>6882.0</v>
      </c>
      <c r="F2" s="6">
        <v>8651.0</v>
      </c>
      <c r="G2" s="7">
        <f t="shared" ref="G2:G29" si="1">SUM(C2+D2+E2+F2)</f>
        <v>47232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7259.0</v>
      </c>
      <c r="D3" s="6">
        <v>22167.0</v>
      </c>
      <c r="E3" s="6">
        <v>7603.0</v>
      </c>
      <c r="F3" s="6">
        <v>9909.0</v>
      </c>
      <c r="G3" s="7">
        <f t="shared" si="1"/>
        <v>46938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12611.0</v>
      </c>
      <c r="D4" s="6">
        <v>17226.0</v>
      </c>
      <c r="E4" s="6">
        <v>9547.0</v>
      </c>
      <c r="F4" s="6">
        <v>5144.0</v>
      </c>
      <c r="G4" s="7">
        <f t="shared" si="1"/>
        <v>44528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10771.0</v>
      </c>
      <c r="D5" s="6">
        <v>16083.0</v>
      </c>
      <c r="E5" s="6">
        <v>11246.0</v>
      </c>
      <c r="F5" s="6">
        <v>7845.0</v>
      </c>
      <c r="G5" s="7">
        <f t="shared" si="1"/>
        <v>45945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17316.0</v>
      </c>
      <c r="D6" s="6">
        <v>20800.0</v>
      </c>
      <c r="E6" s="6">
        <v>8713.0</v>
      </c>
      <c r="F6" s="6">
        <v>9211.0</v>
      </c>
      <c r="G6" s="7">
        <f t="shared" si="1"/>
        <v>56040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16009.0</v>
      </c>
      <c r="D7" s="6">
        <v>14523.0</v>
      </c>
      <c r="E7" s="6">
        <v>6502.0</v>
      </c>
      <c r="F7" s="6">
        <v>8676.0</v>
      </c>
      <c r="G7" s="7">
        <f t="shared" si="1"/>
        <v>45710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10499.0</v>
      </c>
      <c r="D8" s="6">
        <v>7186.0</v>
      </c>
      <c r="E8" s="6">
        <v>6566.0</v>
      </c>
      <c r="F8" s="6">
        <v>11060.0</v>
      </c>
      <c r="G8" s="7">
        <f t="shared" si="1"/>
        <v>35311</v>
      </c>
      <c r="H8" s="11" t="s">
        <v>5</v>
      </c>
      <c r="I8" s="12">
        <f>SUM(G2:G8)</f>
        <v>321704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16844.0</v>
      </c>
      <c r="D9" s="16">
        <v>21093.0</v>
      </c>
      <c r="E9" s="50">
        <v>8551.0</v>
      </c>
      <c r="F9" s="50">
        <v>7885.0</v>
      </c>
      <c r="G9" s="17">
        <f t="shared" si="1"/>
        <v>54373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12075.0</v>
      </c>
      <c r="D10" s="19">
        <v>19375.0</v>
      </c>
      <c r="E10" s="51">
        <v>8383.0</v>
      </c>
      <c r="F10" s="51">
        <v>5460.0</v>
      </c>
      <c r="G10" s="17">
        <f t="shared" si="1"/>
        <v>45293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13639.0</v>
      </c>
      <c r="D11" s="51">
        <v>16926.0</v>
      </c>
      <c r="E11" s="51">
        <v>7246.0</v>
      </c>
      <c r="F11" s="51">
        <v>8502.0</v>
      </c>
      <c r="G11" s="17">
        <f t="shared" si="1"/>
        <v>46313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16676.0</v>
      </c>
      <c r="D12" s="51">
        <v>8184.0</v>
      </c>
      <c r="E12" s="51">
        <v>10426.0</v>
      </c>
      <c r="F12" s="51">
        <v>5875.0</v>
      </c>
      <c r="G12" s="17">
        <f t="shared" si="1"/>
        <v>41161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15920.0</v>
      </c>
      <c r="D13" s="51">
        <v>19204.0</v>
      </c>
      <c r="E13" s="51">
        <v>12475.0</v>
      </c>
      <c r="F13" s="51">
        <v>4021.0</v>
      </c>
      <c r="G13" s="17">
        <f t="shared" si="1"/>
        <v>51620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20800.0</v>
      </c>
      <c r="D14" s="51">
        <v>21167.0</v>
      </c>
      <c r="E14" s="51">
        <v>16730.0</v>
      </c>
      <c r="F14" s="19">
        <v>16597.0</v>
      </c>
      <c r="G14" s="17">
        <f t="shared" si="1"/>
        <v>75294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5158.0</v>
      </c>
      <c r="D15" s="51">
        <v>7806.0</v>
      </c>
      <c r="E15" s="51">
        <v>8887.0</v>
      </c>
      <c r="F15" s="51">
        <v>5434.0</v>
      </c>
      <c r="G15" s="17">
        <f t="shared" si="1"/>
        <v>27285</v>
      </c>
      <c r="H15" s="22" t="s">
        <v>5</v>
      </c>
      <c r="I15" s="23">
        <f>SUM(G9:G15)</f>
        <v>341339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15361.0</v>
      </c>
      <c r="D16" s="53">
        <v>21814.0</v>
      </c>
      <c r="E16" s="53">
        <v>11404.0</v>
      </c>
      <c r="F16" s="53">
        <v>8089.0</v>
      </c>
      <c r="G16" s="27">
        <f t="shared" si="1"/>
        <v>56668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8005.0</v>
      </c>
      <c r="D17" s="54">
        <v>23437.0</v>
      </c>
      <c r="E17" s="54">
        <v>9569.0</v>
      </c>
      <c r="F17" s="31">
        <v>7005.0</v>
      </c>
      <c r="G17" s="27">
        <f t="shared" si="1"/>
        <v>48016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16887.0</v>
      </c>
      <c r="D18" s="54">
        <v>16909.0</v>
      </c>
      <c r="E18" s="54">
        <v>9656.0</v>
      </c>
      <c r="F18" s="54">
        <v>10139.0</v>
      </c>
      <c r="G18" s="27">
        <f t="shared" si="1"/>
        <v>53591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18278.0</v>
      </c>
      <c r="D19" s="54">
        <v>27025.0</v>
      </c>
      <c r="E19" s="54">
        <v>9784.0</v>
      </c>
      <c r="F19" s="54">
        <v>9703.0</v>
      </c>
      <c r="G19" s="27">
        <f t="shared" si="1"/>
        <v>64790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8992.0</v>
      </c>
      <c r="D20" s="54">
        <v>28456.0</v>
      </c>
      <c r="E20" s="31">
        <v>15028.0</v>
      </c>
      <c r="F20" s="54">
        <v>9837.0</v>
      </c>
      <c r="G20" s="27">
        <f t="shared" si="1"/>
        <v>62313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7666.0</v>
      </c>
      <c r="D21" s="54">
        <v>33415.0</v>
      </c>
      <c r="E21" s="54">
        <v>14788.0</v>
      </c>
      <c r="F21" s="54">
        <v>8943.0</v>
      </c>
      <c r="G21" s="27">
        <f t="shared" si="1"/>
        <v>64812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8231.0</v>
      </c>
      <c r="D22" s="54">
        <v>10630.0</v>
      </c>
      <c r="E22" s="54">
        <v>9622.0</v>
      </c>
      <c r="F22" s="54">
        <v>9317.0</v>
      </c>
      <c r="G22" s="27">
        <f t="shared" si="1"/>
        <v>37800</v>
      </c>
      <c r="H22" s="32" t="s">
        <v>5</v>
      </c>
      <c r="I22" s="27">
        <f>SUM(G16:G22)</f>
        <v>387990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55">
        <v>24244.0</v>
      </c>
      <c r="D23" s="55">
        <v>2075.0</v>
      </c>
      <c r="E23" s="36">
        <v>10313.0</v>
      </c>
      <c r="F23" s="36">
        <v>7024.0</v>
      </c>
      <c r="G23" s="37">
        <f t="shared" si="1"/>
        <v>43656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15426.0</v>
      </c>
      <c r="D24" s="56">
        <v>17545.0</v>
      </c>
      <c r="E24" s="56">
        <v>5789.0</v>
      </c>
      <c r="F24" s="56">
        <v>4063.0</v>
      </c>
      <c r="G24" s="39">
        <f t="shared" si="1"/>
        <v>42823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17412.0</v>
      </c>
      <c r="D25" s="56">
        <v>18551.0</v>
      </c>
      <c r="E25" s="42">
        <v>5535.0</v>
      </c>
      <c r="F25" s="56">
        <v>5380.0</v>
      </c>
      <c r="G25" s="39">
        <f t="shared" si="1"/>
        <v>46878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13994.0</v>
      </c>
      <c r="D26" s="56">
        <v>18356.0</v>
      </c>
      <c r="E26" s="56">
        <v>5783.0</v>
      </c>
      <c r="F26" s="56">
        <v>6528.0</v>
      </c>
      <c r="G26" s="39">
        <f t="shared" si="1"/>
        <v>44661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21028.0</v>
      </c>
      <c r="D27" s="56">
        <v>13864.0</v>
      </c>
      <c r="E27" s="56">
        <v>7942.0</v>
      </c>
      <c r="F27" s="56">
        <v>6644.0</v>
      </c>
      <c r="G27" s="39">
        <f t="shared" si="1"/>
        <v>49478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14403.0</v>
      </c>
      <c r="D28" s="56">
        <v>18079.0</v>
      </c>
      <c r="E28" s="56">
        <v>12732.0</v>
      </c>
      <c r="F28" s="56">
        <v>8428.0</v>
      </c>
      <c r="G28" s="39">
        <f t="shared" si="1"/>
        <v>53642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12784.0</v>
      </c>
      <c r="D29" s="42">
        <v>10837.0</v>
      </c>
      <c r="E29" s="42">
        <v>16318.0</v>
      </c>
      <c r="F29" s="42">
        <v>2683.0</v>
      </c>
      <c r="G29" s="39">
        <f t="shared" si="1"/>
        <v>42622</v>
      </c>
      <c r="H29" s="43" t="s">
        <v>5</v>
      </c>
      <c r="I29" s="44">
        <f>SUM(G23:G29)</f>
        <v>323760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391485</v>
      </c>
      <c r="D30" s="45">
        <f t="shared" si="2"/>
        <v>491235</v>
      </c>
      <c r="E30" s="45">
        <f t="shared" si="2"/>
        <v>274020</v>
      </c>
      <c r="F30" s="45">
        <f t="shared" si="2"/>
        <v>218053</v>
      </c>
      <c r="G30" s="45">
        <f t="shared" si="2"/>
        <v>1374793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31</v>
      </c>
      <c r="D1" s="48" t="s">
        <v>32</v>
      </c>
      <c r="E1" s="48" t="s">
        <v>33</v>
      </c>
      <c r="F1" s="48" t="s">
        <v>34</v>
      </c>
      <c r="G1" s="3"/>
      <c r="I1" s="3"/>
    </row>
    <row r="2">
      <c r="A2" s="4" t="s">
        <v>4</v>
      </c>
      <c r="B2" s="5">
        <v>46174.0</v>
      </c>
      <c r="C2" s="6">
        <v>10193.0</v>
      </c>
      <c r="D2" s="6">
        <v>9287.0</v>
      </c>
      <c r="E2" s="6">
        <v>13095.0</v>
      </c>
      <c r="F2" s="6">
        <v>11472.0</v>
      </c>
      <c r="G2" s="7">
        <f t="shared" ref="G2:G29" si="1">SUM(C2+D2+E2+F2)</f>
        <v>44047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13403.0</v>
      </c>
      <c r="D3" s="6">
        <v>6033.0</v>
      </c>
      <c r="E3" s="6">
        <v>13328.0</v>
      </c>
      <c r="F3" s="6">
        <v>13815.0</v>
      </c>
      <c r="G3" s="7">
        <f t="shared" si="1"/>
        <v>46579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11815.0</v>
      </c>
      <c r="D4" s="6">
        <v>4789.0</v>
      </c>
      <c r="E4" s="6">
        <v>16684.0</v>
      </c>
      <c r="F4" s="49">
        <v>11448.0</v>
      </c>
      <c r="G4" s="7">
        <f t="shared" si="1"/>
        <v>44736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11570.0</v>
      </c>
      <c r="D5" s="6">
        <v>8010.0</v>
      </c>
      <c r="E5" s="6">
        <v>14629.0</v>
      </c>
      <c r="F5" s="49">
        <v>14735.0</v>
      </c>
      <c r="G5" s="7">
        <f t="shared" si="1"/>
        <v>48944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10298.0</v>
      </c>
      <c r="D6" s="6">
        <v>8302.0</v>
      </c>
      <c r="E6" s="6">
        <v>11885.0</v>
      </c>
      <c r="F6" s="49">
        <v>10102.0</v>
      </c>
      <c r="G6" s="7">
        <f t="shared" si="1"/>
        <v>40587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17247.0</v>
      </c>
      <c r="D7" s="6">
        <v>9181.0</v>
      </c>
      <c r="E7" s="6">
        <v>11311.0</v>
      </c>
      <c r="F7" s="49">
        <v>11449.0</v>
      </c>
      <c r="G7" s="7">
        <f t="shared" si="1"/>
        <v>49188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10052.0</v>
      </c>
      <c r="D8" s="6">
        <v>6283.0</v>
      </c>
      <c r="E8" s="49">
        <v>11232.0</v>
      </c>
      <c r="F8" s="49">
        <v>11078.0</v>
      </c>
      <c r="G8" s="7">
        <f t="shared" si="1"/>
        <v>38645</v>
      </c>
      <c r="H8" s="11" t="s">
        <v>5</v>
      </c>
      <c r="I8" s="12">
        <f>SUM(G2:G8)</f>
        <v>312726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10338.0</v>
      </c>
      <c r="D9" s="16">
        <v>8095.0</v>
      </c>
      <c r="E9" s="50">
        <v>11985.0</v>
      </c>
      <c r="F9" s="50">
        <v>10293.0</v>
      </c>
      <c r="G9" s="17">
        <f t="shared" si="1"/>
        <v>40711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11317.0</v>
      </c>
      <c r="D10" s="19">
        <v>6371.0</v>
      </c>
      <c r="E10" s="51">
        <v>16462.0</v>
      </c>
      <c r="F10" s="51">
        <v>10800.0</v>
      </c>
      <c r="G10" s="17">
        <f t="shared" si="1"/>
        <v>44950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10029.0</v>
      </c>
      <c r="D11" s="51">
        <v>6875.0</v>
      </c>
      <c r="E11" s="51">
        <v>13803.0</v>
      </c>
      <c r="F11" s="51">
        <v>10197.0</v>
      </c>
      <c r="G11" s="17">
        <f t="shared" si="1"/>
        <v>40904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10169.0</v>
      </c>
      <c r="D12" s="51">
        <v>4773.0</v>
      </c>
      <c r="E12" s="51">
        <v>15576.0</v>
      </c>
      <c r="F12" s="51">
        <v>11607.0</v>
      </c>
      <c r="G12" s="17">
        <f t="shared" si="1"/>
        <v>42125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10099.0</v>
      </c>
      <c r="D13" s="51">
        <v>7529.0</v>
      </c>
      <c r="E13" s="51">
        <v>11389.0</v>
      </c>
      <c r="F13" s="51">
        <v>9628.0</v>
      </c>
      <c r="G13" s="17">
        <f t="shared" si="1"/>
        <v>38645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8146.0</v>
      </c>
      <c r="D14" s="51">
        <v>5617.0</v>
      </c>
      <c r="E14" s="51">
        <v>12624.0</v>
      </c>
      <c r="F14" s="19">
        <v>10177.0</v>
      </c>
      <c r="G14" s="17">
        <f t="shared" si="1"/>
        <v>36564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6970.0</v>
      </c>
      <c r="D15" s="51">
        <v>5617.0</v>
      </c>
      <c r="E15" s="51">
        <v>10213.0</v>
      </c>
      <c r="F15" s="51">
        <v>10141.0</v>
      </c>
      <c r="G15" s="17">
        <f t="shared" si="1"/>
        <v>32941</v>
      </c>
      <c r="H15" s="22" t="s">
        <v>5</v>
      </c>
      <c r="I15" s="23">
        <f>SUM(G9:G15)</f>
        <v>276840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11229.0</v>
      </c>
      <c r="D16" s="53">
        <v>2557.0</v>
      </c>
      <c r="E16" s="53">
        <v>14636.0</v>
      </c>
      <c r="F16" s="53">
        <v>10626.0</v>
      </c>
      <c r="G16" s="27">
        <f t="shared" si="1"/>
        <v>39048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11306.0</v>
      </c>
      <c r="D17" s="54">
        <v>1755.0</v>
      </c>
      <c r="E17" s="54">
        <v>17798.0</v>
      </c>
      <c r="F17" s="31">
        <v>10104.0</v>
      </c>
      <c r="G17" s="27">
        <f t="shared" si="1"/>
        <v>40963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10027.0</v>
      </c>
      <c r="D18" s="54">
        <v>1477.0</v>
      </c>
      <c r="E18" s="54">
        <v>11646.0</v>
      </c>
      <c r="F18" s="54">
        <v>10004.0</v>
      </c>
      <c r="G18" s="27">
        <f t="shared" si="1"/>
        <v>33154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13881.0</v>
      </c>
      <c r="D19" s="54">
        <v>1685.0</v>
      </c>
      <c r="E19" s="54">
        <v>11049.0</v>
      </c>
      <c r="F19" s="54">
        <v>10057.0</v>
      </c>
      <c r="G19" s="27">
        <f t="shared" si="1"/>
        <v>36672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7875.0</v>
      </c>
      <c r="D20" s="54">
        <v>1638.0</v>
      </c>
      <c r="E20" s="31">
        <v>10311.0</v>
      </c>
      <c r="F20" s="54">
        <v>10939.0</v>
      </c>
      <c r="G20" s="27">
        <f t="shared" si="1"/>
        <v>30763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19144.0</v>
      </c>
      <c r="D21" s="54">
        <v>8252.0</v>
      </c>
      <c r="E21" s="54">
        <v>17779.0</v>
      </c>
      <c r="F21" s="54">
        <v>10443.0</v>
      </c>
      <c r="G21" s="27">
        <f t="shared" si="1"/>
        <v>55618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4221.0</v>
      </c>
      <c r="D22" s="54">
        <v>5257.0</v>
      </c>
      <c r="E22" s="54">
        <v>16223.0</v>
      </c>
      <c r="F22" s="54">
        <v>10650.0</v>
      </c>
      <c r="G22" s="27">
        <f t="shared" si="1"/>
        <v>36351</v>
      </c>
      <c r="H22" s="32" t="s">
        <v>5</v>
      </c>
      <c r="I22" s="27">
        <f>SUM(G16:G22)</f>
        <v>272569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55">
        <v>4385.0</v>
      </c>
      <c r="D23" s="55">
        <v>5257.0</v>
      </c>
      <c r="E23" s="36">
        <v>11059.0</v>
      </c>
      <c r="F23" s="36">
        <v>9311.0</v>
      </c>
      <c r="G23" s="37">
        <f t="shared" si="1"/>
        <v>30012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9603.0</v>
      </c>
      <c r="D24" s="56">
        <v>8549.0</v>
      </c>
      <c r="E24" s="56">
        <v>10283.0</v>
      </c>
      <c r="F24" s="56">
        <v>10203.0</v>
      </c>
      <c r="G24" s="39">
        <f t="shared" si="1"/>
        <v>38638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8106.0</v>
      </c>
      <c r="D25" s="56">
        <v>256.0</v>
      </c>
      <c r="E25" s="42">
        <v>10796.0</v>
      </c>
      <c r="F25" s="56">
        <v>10531.0</v>
      </c>
      <c r="G25" s="39">
        <f t="shared" si="1"/>
        <v>29689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12026.0</v>
      </c>
      <c r="D26" s="56">
        <v>4834.0</v>
      </c>
      <c r="E26" s="56">
        <v>12404.0</v>
      </c>
      <c r="F26" s="56">
        <v>5935.0</v>
      </c>
      <c r="G26" s="39">
        <f t="shared" si="1"/>
        <v>35199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9691.0</v>
      </c>
      <c r="D27" s="56">
        <v>1732.0</v>
      </c>
      <c r="E27" s="56">
        <v>12354.0</v>
      </c>
      <c r="F27" s="56">
        <v>9323.0</v>
      </c>
      <c r="G27" s="39">
        <f t="shared" si="1"/>
        <v>33100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5610.0</v>
      </c>
      <c r="D28" s="56">
        <v>728.0</v>
      </c>
      <c r="E28" s="56">
        <v>11301.0</v>
      </c>
      <c r="F28" s="56">
        <v>1305.0</v>
      </c>
      <c r="G28" s="39">
        <f t="shared" si="1"/>
        <v>18944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10357.0</v>
      </c>
      <c r="D29" s="56">
        <v>3461.0</v>
      </c>
      <c r="E29" s="56">
        <v>13656.0</v>
      </c>
      <c r="F29" s="56">
        <v>4200.0</v>
      </c>
      <c r="G29" s="39">
        <f t="shared" si="1"/>
        <v>31674</v>
      </c>
      <c r="H29" s="43" t="s">
        <v>5</v>
      </c>
      <c r="I29" s="44">
        <f>SUM(G23:G29)</f>
        <v>217256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289107</v>
      </c>
      <c r="D30" s="45">
        <f t="shared" si="2"/>
        <v>144200</v>
      </c>
      <c r="E30" s="45">
        <f t="shared" si="2"/>
        <v>365511</v>
      </c>
      <c r="F30" s="45">
        <f t="shared" si="2"/>
        <v>280573</v>
      </c>
      <c r="G30" s="45">
        <f t="shared" si="2"/>
        <v>1079391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35</v>
      </c>
      <c r="D31" s="46" t="s">
        <v>36</v>
      </c>
      <c r="E31" s="46" t="s">
        <v>37</v>
      </c>
      <c r="F31" s="46" t="s">
        <v>38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39</v>
      </c>
      <c r="D1" s="48" t="s">
        <v>40</v>
      </c>
      <c r="E1" s="48" t="s">
        <v>41</v>
      </c>
      <c r="F1" s="57" t="s">
        <v>42</v>
      </c>
      <c r="G1" s="3"/>
      <c r="I1" s="3"/>
    </row>
    <row r="2">
      <c r="A2" s="4" t="s">
        <v>4</v>
      </c>
      <c r="B2" s="5">
        <v>46174.0</v>
      </c>
      <c r="C2" s="6">
        <v>13021.0</v>
      </c>
      <c r="D2" s="6">
        <v>7311.0</v>
      </c>
      <c r="E2" s="6">
        <v>9616.0</v>
      </c>
      <c r="F2" s="6">
        <v>18098.0</v>
      </c>
      <c r="G2" s="7">
        <f t="shared" ref="G2:G29" si="1">SUM(C2+D2+E2+F2)</f>
        <v>48046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11020.0</v>
      </c>
      <c r="D3" s="6">
        <v>10756.0</v>
      </c>
      <c r="E3" s="6">
        <v>10118.0</v>
      </c>
      <c r="F3" s="6">
        <v>15120.0</v>
      </c>
      <c r="G3" s="7">
        <f t="shared" si="1"/>
        <v>47014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15523.0</v>
      </c>
      <c r="D4" s="6">
        <v>11012.0</v>
      </c>
      <c r="E4" s="6">
        <v>9580.0</v>
      </c>
      <c r="F4" s="49">
        <v>15886.0</v>
      </c>
      <c r="G4" s="7">
        <f t="shared" si="1"/>
        <v>52001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11401.0</v>
      </c>
      <c r="D5" s="6">
        <v>11680.0</v>
      </c>
      <c r="E5" s="6">
        <v>11860.0</v>
      </c>
      <c r="F5" s="49">
        <v>16432.0</v>
      </c>
      <c r="G5" s="7">
        <f t="shared" si="1"/>
        <v>51373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16206.0</v>
      </c>
      <c r="D6" s="6">
        <v>11181.0</v>
      </c>
      <c r="E6" s="6">
        <v>12586.0</v>
      </c>
      <c r="F6" s="49">
        <v>14574.0</v>
      </c>
      <c r="G6" s="7">
        <f t="shared" si="1"/>
        <v>54547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13068.0</v>
      </c>
      <c r="D7" s="6">
        <v>14332.0</v>
      </c>
      <c r="E7" s="6">
        <v>11784.0</v>
      </c>
      <c r="F7" s="49">
        <v>19534.0</v>
      </c>
      <c r="G7" s="7">
        <f t="shared" si="1"/>
        <v>58718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13137.0</v>
      </c>
      <c r="D8" s="6">
        <v>12290.0</v>
      </c>
      <c r="E8" s="49">
        <v>6542.0</v>
      </c>
      <c r="F8" s="49">
        <v>16423.0</v>
      </c>
      <c r="G8" s="7">
        <f t="shared" si="1"/>
        <v>48392</v>
      </c>
      <c r="H8" s="11" t="s">
        <v>5</v>
      </c>
      <c r="I8" s="12">
        <f>SUM(G2:G8)</f>
        <v>360091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14012.0</v>
      </c>
      <c r="D9" s="16">
        <v>12762.0</v>
      </c>
      <c r="E9" s="50">
        <v>11597.0</v>
      </c>
      <c r="F9" s="50">
        <v>17187.0</v>
      </c>
      <c r="G9" s="17">
        <f t="shared" si="1"/>
        <v>55558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16319.0</v>
      </c>
      <c r="D10" s="19">
        <v>10176.0</v>
      </c>
      <c r="E10" s="51">
        <v>11074.0</v>
      </c>
      <c r="F10" s="51">
        <v>14408.0</v>
      </c>
      <c r="G10" s="17">
        <f t="shared" si="1"/>
        <v>51977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21898.0</v>
      </c>
      <c r="D11" s="51">
        <v>14181.0</v>
      </c>
      <c r="E11" s="51">
        <v>10973.0</v>
      </c>
      <c r="F11" s="51">
        <v>17672.0</v>
      </c>
      <c r="G11" s="17">
        <f t="shared" si="1"/>
        <v>64724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9903.0</v>
      </c>
      <c r="D12" s="51">
        <v>10784.0</v>
      </c>
      <c r="E12" s="51">
        <v>10661.0</v>
      </c>
      <c r="F12" s="51">
        <v>11220.0</v>
      </c>
      <c r="G12" s="17">
        <f t="shared" si="1"/>
        <v>42568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12532.0</v>
      </c>
      <c r="D13" s="51">
        <v>8934.0</v>
      </c>
      <c r="E13" s="51">
        <v>9945.0</v>
      </c>
      <c r="F13" s="51">
        <v>14640.0</v>
      </c>
      <c r="G13" s="17">
        <f t="shared" si="1"/>
        <v>46051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10930.0</v>
      </c>
      <c r="D14" s="51">
        <v>11636.0</v>
      </c>
      <c r="E14" s="51">
        <v>9905.0</v>
      </c>
      <c r="F14" s="19">
        <v>16353.0</v>
      </c>
      <c r="G14" s="17">
        <f t="shared" si="1"/>
        <v>48824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12353.0</v>
      </c>
      <c r="D15" s="51">
        <v>4023.0</v>
      </c>
      <c r="E15" s="51">
        <v>8870.0</v>
      </c>
      <c r="F15" s="51">
        <v>18107.0</v>
      </c>
      <c r="G15" s="17">
        <f t="shared" si="1"/>
        <v>43353</v>
      </c>
      <c r="H15" s="22" t="s">
        <v>5</v>
      </c>
      <c r="I15" s="23">
        <f>SUM(G9:G15)</f>
        <v>353055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11407.0</v>
      </c>
      <c r="D16" s="53">
        <v>12283.0</v>
      </c>
      <c r="E16" s="53">
        <v>10491.0</v>
      </c>
      <c r="F16" s="53">
        <v>15784.0</v>
      </c>
      <c r="G16" s="27">
        <f t="shared" si="1"/>
        <v>49965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10513.0</v>
      </c>
      <c r="D17" s="54">
        <v>9919.0</v>
      </c>
      <c r="E17" s="54">
        <v>14931.0</v>
      </c>
      <c r="F17" s="31">
        <v>14043.0</v>
      </c>
      <c r="G17" s="27">
        <f t="shared" si="1"/>
        <v>49406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13000.0</v>
      </c>
      <c r="D18" s="54">
        <v>8089.0</v>
      </c>
      <c r="E18" s="54">
        <v>11329.0</v>
      </c>
      <c r="F18" s="54">
        <v>12083.0</v>
      </c>
      <c r="G18" s="27">
        <f t="shared" si="1"/>
        <v>44501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13203.0</v>
      </c>
      <c r="D19" s="54">
        <v>10760.0</v>
      </c>
      <c r="E19" s="54">
        <v>13597.0</v>
      </c>
      <c r="F19" s="54">
        <v>7704.0</v>
      </c>
      <c r="G19" s="27">
        <f t="shared" si="1"/>
        <v>45264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6936.0</v>
      </c>
      <c r="D20" s="54">
        <v>10725.0</v>
      </c>
      <c r="E20" s="31">
        <v>9154.0</v>
      </c>
      <c r="F20" s="54">
        <v>12002.0</v>
      </c>
      <c r="G20" s="27">
        <f t="shared" si="1"/>
        <v>38817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13131.0</v>
      </c>
      <c r="D21" s="54">
        <v>10197.0</v>
      </c>
      <c r="E21" s="54">
        <v>11064.0</v>
      </c>
      <c r="F21" s="54">
        <v>21708.0</v>
      </c>
      <c r="G21" s="27">
        <f t="shared" si="1"/>
        <v>56100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10220.0</v>
      </c>
      <c r="D22" s="54">
        <v>6377.0</v>
      </c>
      <c r="E22" s="54">
        <v>3623.0</v>
      </c>
      <c r="F22" s="54">
        <v>12704.0</v>
      </c>
      <c r="G22" s="27">
        <f t="shared" si="1"/>
        <v>32924</v>
      </c>
      <c r="H22" s="32" t="s">
        <v>5</v>
      </c>
      <c r="I22" s="27">
        <f>SUM(G16:G22)</f>
        <v>316977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55">
        <v>11018.0</v>
      </c>
      <c r="D23" s="55">
        <v>12654.0</v>
      </c>
      <c r="E23" s="36">
        <v>10115.0</v>
      </c>
      <c r="F23" s="36">
        <v>12871.0</v>
      </c>
      <c r="G23" s="37">
        <f t="shared" si="1"/>
        <v>46658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10096.0</v>
      </c>
      <c r="D24" s="56">
        <v>9642.0</v>
      </c>
      <c r="E24" s="56">
        <v>15751.0</v>
      </c>
      <c r="F24" s="56">
        <v>11473.0</v>
      </c>
      <c r="G24" s="39">
        <f t="shared" si="1"/>
        <v>46962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13012.0</v>
      </c>
      <c r="D25" s="56">
        <v>7957.0</v>
      </c>
      <c r="E25" s="42">
        <v>7719.0</v>
      </c>
      <c r="F25" s="56">
        <v>17777.0</v>
      </c>
      <c r="G25" s="39">
        <f t="shared" si="1"/>
        <v>46465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12187.0</v>
      </c>
      <c r="D26" s="56">
        <v>9257.0</v>
      </c>
      <c r="E26" s="56">
        <v>11586.0</v>
      </c>
      <c r="F26" s="56">
        <v>6941.0</v>
      </c>
      <c r="G26" s="39">
        <f t="shared" si="1"/>
        <v>39971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12142.0</v>
      </c>
      <c r="D27" s="56">
        <v>8505.0</v>
      </c>
      <c r="E27" s="56">
        <v>7515.0</v>
      </c>
      <c r="F27" s="56">
        <v>16006.0</v>
      </c>
      <c r="G27" s="39">
        <f t="shared" si="1"/>
        <v>44168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12164.0</v>
      </c>
      <c r="D28" s="56">
        <v>8480.0</v>
      </c>
      <c r="E28" s="56">
        <v>6928.0</v>
      </c>
      <c r="F28" s="56">
        <v>12098.0</v>
      </c>
      <c r="G28" s="39">
        <f t="shared" si="1"/>
        <v>39670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11169.0</v>
      </c>
      <c r="D29" s="56">
        <v>8090.0</v>
      </c>
      <c r="E29" s="56">
        <v>6142.0</v>
      </c>
      <c r="F29" s="56">
        <v>11052.0</v>
      </c>
      <c r="G29" s="39">
        <f t="shared" si="1"/>
        <v>36453</v>
      </c>
      <c r="H29" s="43" t="s">
        <v>5</v>
      </c>
      <c r="I29" s="44">
        <f>SUM(G23:G29)</f>
        <v>300347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351521</v>
      </c>
      <c r="D30" s="45">
        <f t="shared" si="2"/>
        <v>283993</v>
      </c>
      <c r="E30" s="45">
        <f t="shared" si="2"/>
        <v>285056</v>
      </c>
      <c r="F30" s="45">
        <f t="shared" si="2"/>
        <v>409900</v>
      </c>
      <c r="G30" s="45">
        <f t="shared" si="2"/>
        <v>1330470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43</v>
      </c>
      <c r="D1" s="48" t="s">
        <v>44</v>
      </c>
      <c r="E1" s="58" t="s">
        <v>45</v>
      </c>
      <c r="F1" s="48" t="s">
        <v>46</v>
      </c>
      <c r="G1" s="3"/>
      <c r="I1" s="3"/>
    </row>
    <row r="2">
      <c r="A2" s="4" t="s">
        <v>4</v>
      </c>
      <c r="B2" s="5">
        <v>46174.0</v>
      </c>
      <c r="C2" s="6">
        <v>14276.0</v>
      </c>
      <c r="D2" s="6">
        <v>6406.0</v>
      </c>
      <c r="E2" s="6">
        <v>22763.0</v>
      </c>
      <c r="F2" s="6">
        <v>10992.0</v>
      </c>
      <c r="G2" s="7">
        <f t="shared" ref="G2:G29" si="1">SUM(C2+D2+E2+F2)</f>
        <v>54437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17087.0</v>
      </c>
      <c r="D3" s="6">
        <v>10097.0</v>
      </c>
      <c r="E3" s="6">
        <v>20472.0</v>
      </c>
      <c r="F3" s="6">
        <v>11773.0</v>
      </c>
      <c r="G3" s="7">
        <f t="shared" si="1"/>
        <v>59429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18150.0</v>
      </c>
      <c r="D4" s="6">
        <v>10063.0</v>
      </c>
      <c r="E4" s="6">
        <v>21225.0</v>
      </c>
      <c r="F4" s="6">
        <v>7430.0</v>
      </c>
      <c r="G4" s="7">
        <f t="shared" si="1"/>
        <v>56868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18133.0</v>
      </c>
      <c r="D5" s="6">
        <v>10093.0</v>
      </c>
      <c r="E5" s="6">
        <v>20495.0</v>
      </c>
      <c r="F5" s="6">
        <v>11666.0</v>
      </c>
      <c r="G5" s="7">
        <f t="shared" si="1"/>
        <v>60387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15576.0</v>
      </c>
      <c r="D6" s="6">
        <v>15058.0</v>
      </c>
      <c r="E6" s="6">
        <v>11840.0</v>
      </c>
      <c r="F6" s="6">
        <v>14572.0</v>
      </c>
      <c r="G6" s="7">
        <f t="shared" si="1"/>
        <v>57046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18757.0</v>
      </c>
      <c r="D7" s="6">
        <v>12264.0</v>
      </c>
      <c r="E7" s="6">
        <v>14367.0</v>
      </c>
      <c r="F7" s="9">
        <f>4411+5736</f>
        <v>10147</v>
      </c>
      <c r="G7" s="7">
        <f t="shared" si="1"/>
        <v>55535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13264.0</v>
      </c>
      <c r="D8" s="6">
        <v>14073.0</v>
      </c>
      <c r="E8" s="6">
        <v>10803.0</v>
      </c>
      <c r="F8" s="6">
        <v>9715.0</v>
      </c>
      <c r="G8" s="7">
        <f t="shared" si="1"/>
        <v>47855</v>
      </c>
      <c r="H8" s="11" t="s">
        <v>5</v>
      </c>
      <c r="I8" s="12">
        <f>SUM(G2:G8)</f>
        <v>391557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14454.0</v>
      </c>
      <c r="D9" s="16">
        <v>12080.0</v>
      </c>
      <c r="E9" s="16">
        <v>20296.0</v>
      </c>
      <c r="F9" s="16">
        <v>7640.0</v>
      </c>
      <c r="G9" s="17">
        <f t="shared" si="1"/>
        <v>54470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16546.0</v>
      </c>
      <c r="D10" s="19">
        <v>15013.0</v>
      </c>
      <c r="E10" s="19">
        <v>20194.0</v>
      </c>
      <c r="F10" s="19">
        <v>9229.0</v>
      </c>
      <c r="G10" s="17">
        <f t="shared" si="1"/>
        <v>60982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10161.0</v>
      </c>
      <c r="D11" s="19">
        <v>15343.0</v>
      </c>
      <c r="E11" s="19">
        <v>20801.0</v>
      </c>
      <c r="F11" s="19">
        <v>9583.0</v>
      </c>
      <c r="G11" s="17">
        <f t="shared" si="1"/>
        <v>55888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14135.0</v>
      </c>
      <c r="D12" s="19">
        <v>15056.0</v>
      </c>
      <c r="E12" s="19">
        <v>20308.0</v>
      </c>
      <c r="F12" s="19">
        <v>8147.0</v>
      </c>
      <c r="G12" s="17">
        <f t="shared" si="1"/>
        <v>57646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10186.0</v>
      </c>
      <c r="D13" s="19">
        <v>15097.0</v>
      </c>
      <c r="E13" s="19">
        <v>10751.0</v>
      </c>
      <c r="F13" s="19">
        <v>9078.0</v>
      </c>
      <c r="G13" s="17">
        <f t="shared" si="1"/>
        <v>45112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17321.0</v>
      </c>
      <c r="D14" s="19">
        <v>15115.0</v>
      </c>
      <c r="E14" s="19">
        <v>15121.0</v>
      </c>
      <c r="F14" s="19">
        <v>4826.0</v>
      </c>
      <c r="G14" s="17">
        <f t="shared" si="1"/>
        <v>52383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7497.0</v>
      </c>
      <c r="D15" s="19">
        <v>10465.0</v>
      </c>
      <c r="E15" s="19">
        <v>21451.0</v>
      </c>
      <c r="F15" s="19">
        <v>4333.0</v>
      </c>
      <c r="G15" s="17">
        <f t="shared" si="1"/>
        <v>43746</v>
      </c>
      <c r="H15" s="22" t="s">
        <v>5</v>
      </c>
      <c r="I15" s="23">
        <f>SUM(G9:G15)</f>
        <v>370227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17090.0</v>
      </c>
      <c r="D16" s="52">
        <v>17106.0</v>
      </c>
      <c r="E16" s="52">
        <v>20624.0</v>
      </c>
      <c r="F16" s="52">
        <v>11324.0</v>
      </c>
      <c r="G16" s="27">
        <f t="shared" si="1"/>
        <v>66144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15199.0</v>
      </c>
      <c r="D17" s="31">
        <v>17088.0</v>
      </c>
      <c r="E17" s="31">
        <v>10414.0</v>
      </c>
      <c r="F17" s="31">
        <v>8839.0</v>
      </c>
      <c r="G17" s="27">
        <f t="shared" si="1"/>
        <v>51540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19067.0</v>
      </c>
      <c r="D18" s="31">
        <v>15047.0</v>
      </c>
      <c r="E18" s="31">
        <v>10146.0</v>
      </c>
      <c r="F18" s="31">
        <v>9874.0</v>
      </c>
      <c r="G18" s="27">
        <f t="shared" si="1"/>
        <v>54134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14040.0</v>
      </c>
      <c r="D19" s="31">
        <v>12089.0</v>
      </c>
      <c r="E19" s="31">
        <v>17211.0</v>
      </c>
      <c r="F19" s="31">
        <v>11442.0</v>
      </c>
      <c r="G19" s="27">
        <f t="shared" si="1"/>
        <v>54782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10170.0</v>
      </c>
      <c r="D20" s="31">
        <v>15013.0</v>
      </c>
      <c r="E20" s="31">
        <v>11796.0</v>
      </c>
      <c r="F20" s="31">
        <v>7245.0</v>
      </c>
      <c r="G20" s="27">
        <f t="shared" si="1"/>
        <v>44224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16672.0</v>
      </c>
      <c r="D21" s="31">
        <v>15085.0</v>
      </c>
      <c r="E21" s="31">
        <v>10872.0</v>
      </c>
      <c r="F21" s="31">
        <v>8160.0</v>
      </c>
      <c r="G21" s="27">
        <f t="shared" si="1"/>
        <v>50789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10220.0</v>
      </c>
      <c r="D22" s="31">
        <v>12162.0</v>
      </c>
      <c r="E22" s="31">
        <v>18412.0</v>
      </c>
      <c r="F22" s="31">
        <v>7003.0</v>
      </c>
      <c r="G22" s="27">
        <f t="shared" si="1"/>
        <v>47797</v>
      </c>
      <c r="H22" s="32" t="s">
        <v>5</v>
      </c>
      <c r="I22" s="27">
        <f>SUM(G16:G22)</f>
        <v>369410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11812.0</v>
      </c>
      <c r="D23" s="36">
        <v>14068.0</v>
      </c>
      <c r="E23" s="36">
        <v>23254.0</v>
      </c>
      <c r="F23" s="36">
        <v>7848.0</v>
      </c>
      <c r="G23" s="37">
        <f t="shared" si="1"/>
        <v>56982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11190.0</v>
      </c>
      <c r="D24" s="42">
        <v>15091.0</v>
      </c>
      <c r="E24" s="42">
        <v>20009.0</v>
      </c>
      <c r="F24" s="42">
        <v>7383.0</v>
      </c>
      <c r="G24" s="39">
        <f t="shared" si="1"/>
        <v>53673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9824.0</v>
      </c>
      <c r="D25" s="42">
        <v>13833.0</v>
      </c>
      <c r="E25" s="42">
        <v>13777.0</v>
      </c>
      <c r="F25" s="42">
        <v>10349.0</v>
      </c>
      <c r="G25" s="39">
        <f t="shared" si="1"/>
        <v>47783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17295.0</v>
      </c>
      <c r="D26" s="42">
        <v>15035.0</v>
      </c>
      <c r="E26" s="42">
        <v>12136.0</v>
      </c>
      <c r="F26" s="42">
        <v>8410.0</v>
      </c>
      <c r="G26" s="39">
        <f t="shared" si="1"/>
        <v>52876</v>
      </c>
      <c r="H26" s="41"/>
      <c r="I26" s="40"/>
      <c r="J26" s="41"/>
      <c r="K26" s="41"/>
      <c r="L26" s="41"/>
      <c r="M26" s="41"/>
      <c r="N26" s="41"/>
      <c r="O26" s="41"/>
      <c r="P26" s="41"/>
      <c r="Q26" s="43" t="s">
        <v>47</v>
      </c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12306.0</v>
      </c>
      <c r="D27" s="42">
        <v>9783.0</v>
      </c>
      <c r="E27" s="42">
        <v>13646.0</v>
      </c>
      <c r="F27" s="42">
        <v>7405.0</v>
      </c>
      <c r="G27" s="39">
        <f t="shared" si="1"/>
        <v>43140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12913.0</v>
      </c>
      <c r="D28" s="42">
        <v>15102.0</v>
      </c>
      <c r="E28" s="42">
        <v>9312.0</v>
      </c>
      <c r="F28" s="42">
        <v>10004.0</v>
      </c>
      <c r="G28" s="39">
        <f t="shared" si="1"/>
        <v>47331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11450.0</v>
      </c>
      <c r="D29" s="42">
        <v>10260.0</v>
      </c>
      <c r="E29" s="42">
        <v>10314.0</v>
      </c>
      <c r="F29" s="42">
        <v>8163.0</v>
      </c>
      <c r="G29" s="39">
        <f t="shared" si="1"/>
        <v>40187</v>
      </c>
      <c r="H29" s="43" t="s">
        <v>5</v>
      </c>
      <c r="I29" s="44">
        <f>SUM(G23:G29)</f>
        <v>341972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394791</v>
      </c>
      <c r="D30" s="45">
        <f t="shared" si="2"/>
        <v>372985</v>
      </c>
      <c r="E30" s="45">
        <f t="shared" si="2"/>
        <v>452810</v>
      </c>
      <c r="F30" s="45">
        <f t="shared" si="2"/>
        <v>252580</v>
      </c>
      <c r="G30" s="45">
        <f t="shared" si="2"/>
        <v>1473166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48</v>
      </c>
      <c r="D1" s="48" t="s">
        <v>49</v>
      </c>
      <c r="E1" s="48" t="s">
        <v>50</v>
      </c>
      <c r="F1" s="48" t="s">
        <v>51</v>
      </c>
      <c r="G1" s="3"/>
      <c r="I1" s="3"/>
    </row>
    <row r="2">
      <c r="A2" s="4" t="s">
        <v>4</v>
      </c>
      <c r="B2" s="5">
        <v>46174.0</v>
      </c>
      <c r="C2" s="6">
        <v>14140.0</v>
      </c>
      <c r="D2" s="6">
        <v>11318.0</v>
      </c>
      <c r="E2" s="6">
        <v>11190.0</v>
      </c>
      <c r="F2" s="6">
        <v>14274.0</v>
      </c>
      <c r="G2" s="7">
        <f t="shared" ref="G2:G29" si="1">SUM(C2+D2+E2+F2)</f>
        <v>50922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11785.0</v>
      </c>
      <c r="D3" s="6">
        <v>11414.0</v>
      </c>
      <c r="E3" s="6">
        <v>10352.0</v>
      </c>
      <c r="F3" s="6">
        <v>13310.0</v>
      </c>
      <c r="G3" s="7">
        <f t="shared" si="1"/>
        <v>46861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13307.0</v>
      </c>
      <c r="D4" s="6">
        <v>13289.0</v>
      </c>
      <c r="E4" s="6">
        <v>10106.0</v>
      </c>
      <c r="F4" s="49">
        <v>13447.0</v>
      </c>
      <c r="G4" s="7">
        <f t="shared" si="1"/>
        <v>50149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14279.0</v>
      </c>
      <c r="D5" s="6">
        <v>10587.0</v>
      </c>
      <c r="E5" s="6">
        <v>8648.0</v>
      </c>
      <c r="F5" s="6">
        <v>12282.0</v>
      </c>
      <c r="G5" s="7">
        <f t="shared" si="1"/>
        <v>45796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10780.0</v>
      </c>
      <c r="D6" s="6">
        <v>15096.0</v>
      </c>
      <c r="E6" s="6">
        <v>8506.0</v>
      </c>
      <c r="F6" s="6">
        <v>12509.0</v>
      </c>
      <c r="G6" s="7">
        <f t="shared" si="1"/>
        <v>46891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10298.0</v>
      </c>
      <c r="D7" s="6">
        <v>10113.0</v>
      </c>
      <c r="E7" s="6">
        <v>5090.0</v>
      </c>
      <c r="F7" s="6">
        <v>16949.0</v>
      </c>
      <c r="G7" s="7">
        <f t="shared" si="1"/>
        <v>42450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5672.0</v>
      </c>
      <c r="D8" s="6">
        <v>13146.0</v>
      </c>
      <c r="E8" s="6">
        <v>7699.0</v>
      </c>
      <c r="F8" s="6">
        <v>12934.0</v>
      </c>
      <c r="G8" s="7">
        <f t="shared" si="1"/>
        <v>39451</v>
      </c>
      <c r="H8" s="11" t="s">
        <v>5</v>
      </c>
      <c r="I8" s="12">
        <f>SUM(G2:G8)</f>
        <v>322520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8279.0</v>
      </c>
      <c r="D9" s="16">
        <v>10410.0</v>
      </c>
      <c r="E9" s="16">
        <v>6321.0</v>
      </c>
      <c r="F9" s="16">
        <v>12382.0</v>
      </c>
      <c r="G9" s="17">
        <f t="shared" si="1"/>
        <v>37392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7973.0</v>
      </c>
      <c r="D10" s="19">
        <v>6419.0</v>
      </c>
      <c r="E10" s="19">
        <v>8807.0</v>
      </c>
      <c r="F10" s="19">
        <v>12211.0</v>
      </c>
      <c r="G10" s="17">
        <f t="shared" si="1"/>
        <v>35410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8692.0</v>
      </c>
      <c r="D11" s="19">
        <v>13241.0</v>
      </c>
      <c r="E11" s="19">
        <v>6677.0</v>
      </c>
      <c r="F11" s="19">
        <v>12325.0</v>
      </c>
      <c r="G11" s="17">
        <f t="shared" si="1"/>
        <v>40935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9792.0</v>
      </c>
      <c r="D12" s="19">
        <v>10524.0</v>
      </c>
      <c r="E12" s="19">
        <v>5370.0</v>
      </c>
      <c r="F12" s="19">
        <v>12220.0</v>
      </c>
      <c r="G12" s="17">
        <f t="shared" si="1"/>
        <v>37906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3491.0</v>
      </c>
      <c r="D13" s="19">
        <v>10387.0</v>
      </c>
      <c r="E13" s="19">
        <v>7207.0</v>
      </c>
      <c r="F13" s="19">
        <v>12244.0</v>
      </c>
      <c r="G13" s="17">
        <f t="shared" si="1"/>
        <v>33329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4241.0</v>
      </c>
      <c r="D14" s="19">
        <v>8457.0</v>
      </c>
      <c r="E14" s="19">
        <v>4294.0</v>
      </c>
      <c r="F14" s="19">
        <v>11995.0</v>
      </c>
      <c r="G14" s="17">
        <f t="shared" si="1"/>
        <v>28987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4152.0</v>
      </c>
      <c r="D15" s="19">
        <v>11523.0</v>
      </c>
      <c r="E15" s="19">
        <v>5621.0</v>
      </c>
      <c r="F15" s="19">
        <v>13407.0</v>
      </c>
      <c r="G15" s="17">
        <f t="shared" si="1"/>
        <v>34703</v>
      </c>
      <c r="H15" s="22" t="s">
        <v>5</v>
      </c>
      <c r="I15" s="23">
        <f>SUM(G9:G15)</f>
        <v>248662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11359.0</v>
      </c>
      <c r="D16" s="52">
        <v>7600.0</v>
      </c>
      <c r="E16" s="52">
        <v>3231.0</v>
      </c>
      <c r="F16" s="52">
        <v>12816.0</v>
      </c>
      <c r="G16" s="27">
        <f t="shared" si="1"/>
        <v>35006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10949.0</v>
      </c>
      <c r="D17" s="31">
        <v>6724.0</v>
      </c>
      <c r="E17" s="31">
        <v>7672.0</v>
      </c>
      <c r="F17" s="31">
        <v>12606.0</v>
      </c>
      <c r="G17" s="27">
        <f t="shared" si="1"/>
        <v>37951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11349.0</v>
      </c>
      <c r="D18" s="31">
        <v>10248.0</v>
      </c>
      <c r="E18" s="31">
        <v>11431.0</v>
      </c>
      <c r="F18" s="31">
        <v>12472.0</v>
      </c>
      <c r="G18" s="27">
        <f t="shared" si="1"/>
        <v>45500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11727.0</v>
      </c>
      <c r="D19" s="31">
        <v>7210.0</v>
      </c>
      <c r="E19" s="31">
        <v>9128.0</v>
      </c>
      <c r="F19" s="31">
        <v>12296.0</v>
      </c>
      <c r="G19" s="27">
        <f t="shared" si="1"/>
        <v>40361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10835.0</v>
      </c>
      <c r="D20" s="31">
        <v>11473.0</v>
      </c>
      <c r="E20" s="31">
        <v>7980.0</v>
      </c>
      <c r="F20" s="31">
        <v>8335.0</v>
      </c>
      <c r="G20" s="27">
        <f t="shared" si="1"/>
        <v>38623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12581.0</v>
      </c>
      <c r="D21" s="31">
        <v>8167.0</v>
      </c>
      <c r="E21" s="31">
        <v>10226.0</v>
      </c>
      <c r="F21" s="31">
        <v>13187.0</v>
      </c>
      <c r="G21" s="27">
        <f t="shared" si="1"/>
        <v>44161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7111.0</v>
      </c>
      <c r="D22" s="31">
        <v>5695.0</v>
      </c>
      <c r="E22" s="31">
        <v>5919.0</v>
      </c>
      <c r="F22" s="31">
        <v>10732.0</v>
      </c>
      <c r="G22" s="27">
        <f t="shared" si="1"/>
        <v>29457</v>
      </c>
      <c r="H22" s="32" t="s">
        <v>5</v>
      </c>
      <c r="I22" s="27">
        <f>SUM(G16:G22)</f>
        <v>271059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11647.0</v>
      </c>
      <c r="D23" s="36">
        <v>10312.0</v>
      </c>
      <c r="E23" s="36">
        <v>5022.0</v>
      </c>
      <c r="F23" s="36">
        <v>10457.0</v>
      </c>
      <c r="G23" s="37">
        <f t="shared" si="1"/>
        <v>37438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9013.0</v>
      </c>
      <c r="D24" s="42">
        <v>10314.0</v>
      </c>
      <c r="E24" s="40"/>
      <c r="F24" s="42">
        <v>11039.0</v>
      </c>
      <c r="G24" s="39">
        <f t="shared" si="1"/>
        <v>30366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11587.0</v>
      </c>
      <c r="D25" s="40"/>
      <c r="E25" s="42"/>
      <c r="F25" s="42">
        <v>6706.0</v>
      </c>
      <c r="G25" s="39">
        <f t="shared" si="1"/>
        <v>18293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86097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235039</v>
      </c>
      <c r="D30" s="45">
        <f t="shared" si="2"/>
        <v>233667</v>
      </c>
      <c r="E30" s="45">
        <f t="shared" si="2"/>
        <v>166497</v>
      </c>
      <c r="F30" s="45">
        <f t="shared" si="2"/>
        <v>293135</v>
      </c>
      <c r="G30" s="45">
        <f t="shared" si="2"/>
        <v>928338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52</v>
      </c>
      <c r="D1" s="48" t="s">
        <v>53</v>
      </c>
      <c r="E1" s="48" t="s">
        <v>54</v>
      </c>
      <c r="F1" s="48" t="s">
        <v>55</v>
      </c>
      <c r="G1" s="3"/>
      <c r="I1" s="3"/>
    </row>
    <row r="2">
      <c r="A2" s="4" t="s">
        <v>4</v>
      </c>
      <c r="B2" s="5">
        <v>46174.0</v>
      </c>
      <c r="C2" s="6">
        <v>13026.0</v>
      </c>
      <c r="D2" s="6">
        <v>16032.0</v>
      </c>
      <c r="E2" s="6">
        <v>15885.0</v>
      </c>
      <c r="F2" s="6">
        <v>8376.0</v>
      </c>
      <c r="G2" s="7">
        <f t="shared" ref="G2:G29" si="1">SUM(C2+D2+E2+F2)</f>
        <v>53319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16375.0</v>
      </c>
      <c r="D3" s="6">
        <v>10633.0</v>
      </c>
      <c r="E3" s="6">
        <v>13109.0</v>
      </c>
      <c r="F3" s="19">
        <v>18363.0</v>
      </c>
      <c r="G3" s="7">
        <f t="shared" si="1"/>
        <v>58480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12301.0</v>
      </c>
      <c r="D4" s="6">
        <v>15881.0</v>
      </c>
      <c r="E4" s="6">
        <v>18181.0</v>
      </c>
      <c r="F4" s="6">
        <v>8294.0</v>
      </c>
      <c r="G4" s="7">
        <f t="shared" si="1"/>
        <v>54657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13956.0</v>
      </c>
      <c r="D5" s="6">
        <v>9013.0</v>
      </c>
      <c r="E5" s="6">
        <v>15158.0</v>
      </c>
      <c r="F5" s="6">
        <v>13146.0</v>
      </c>
      <c r="G5" s="7">
        <f t="shared" si="1"/>
        <v>51273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6089.0</v>
      </c>
      <c r="D6" s="6">
        <v>11574.0</v>
      </c>
      <c r="E6" s="6">
        <v>20743.0</v>
      </c>
      <c r="F6" s="6">
        <v>14511.0</v>
      </c>
      <c r="G6" s="7">
        <f t="shared" si="1"/>
        <v>52917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21159.0</v>
      </c>
      <c r="D7" s="6">
        <v>9064.0</v>
      </c>
      <c r="E7" s="6">
        <v>10651.0</v>
      </c>
      <c r="F7" s="6">
        <v>11795.0</v>
      </c>
      <c r="G7" s="7">
        <f t="shared" si="1"/>
        <v>52669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10404.0</v>
      </c>
      <c r="D8" s="6">
        <v>9029.0</v>
      </c>
      <c r="E8" s="6">
        <v>20710.0</v>
      </c>
      <c r="F8" s="6">
        <v>3179.0</v>
      </c>
      <c r="G8" s="7">
        <f t="shared" si="1"/>
        <v>43322</v>
      </c>
      <c r="H8" s="11" t="s">
        <v>5</v>
      </c>
      <c r="I8" s="12">
        <f>SUM(G2:G8)</f>
        <v>366637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12249.0</v>
      </c>
      <c r="D9" s="16">
        <v>8795.0</v>
      </c>
      <c r="E9" s="16">
        <v>11264.0</v>
      </c>
      <c r="F9" s="16">
        <v>6115.0</v>
      </c>
      <c r="G9" s="17">
        <f t="shared" si="1"/>
        <v>38423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12014.0</v>
      </c>
      <c r="D10" s="19">
        <v>9763.0</v>
      </c>
      <c r="E10" s="19">
        <v>12427.0</v>
      </c>
      <c r="F10" s="19">
        <v>12224.0</v>
      </c>
      <c r="G10" s="17">
        <f t="shared" si="1"/>
        <v>46428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12021.0</v>
      </c>
      <c r="D11" s="19">
        <v>8790.0</v>
      </c>
      <c r="E11" s="19">
        <v>11164.0</v>
      </c>
      <c r="F11" s="19">
        <v>6342.0</v>
      </c>
      <c r="G11" s="17">
        <f t="shared" si="1"/>
        <v>38317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10030.0</v>
      </c>
      <c r="D12" s="19">
        <v>13460.0</v>
      </c>
      <c r="E12" s="19">
        <v>10856.0</v>
      </c>
      <c r="F12" s="19">
        <v>13137.0</v>
      </c>
      <c r="G12" s="17">
        <f t="shared" si="1"/>
        <v>47483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11317.0</v>
      </c>
      <c r="D13" s="19">
        <v>14008.0</v>
      </c>
      <c r="E13" s="19">
        <v>21208.0</v>
      </c>
      <c r="F13" s="19">
        <v>12583.0</v>
      </c>
      <c r="G13" s="17">
        <f t="shared" si="1"/>
        <v>59116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10057.0</v>
      </c>
      <c r="D14" s="19">
        <v>8018.0</v>
      </c>
      <c r="E14" s="19">
        <v>6061.0</v>
      </c>
      <c r="F14" s="19">
        <v>6797.0</v>
      </c>
      <c r="G14" s="17">
        <f t="shared" si="1"/>
        <v>30933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9842.0</v>
      </c>
      <c r="D15" s="19">
        <v>7782.0</v>
      </c>
      <c r="E15" s="19">
        <v>10873.0</v>
      </c>
      <c r="F15" s="19">
        <v>8493.0</v>
      </c>
      <c r="G15" s="17">
        <f t="shared" si="1"/>
        <v>36990</v>
      </c>
      <c r="H15" s="22" t="s">
        <v>5</v>
      </c>
      <c r="I15" s="23">
        <f>SUM(G9:G15)</f>
        <v>297690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31">
        <v>9113.0</v>
      </c>
      <c r="D16" s="52">
        <v>19652.0</v>
      </c>
      <c r="E16" s="52">
        <v>11710.0</v>
      </c>
      <c r="F16" s="52">
        <v>3118.0</v>
      </c>
      <c r="G16" s="27">
        <f t="shared" si="1"/>
        <v>43593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8943.0</v>
      </c>
      <c r="D17" s="31">
        <v>13040.0</v>
      </c>
      <c r="E17" s="31">
        <v>14259.0</v>
      </c>
      <c r="F17" s="31">
        <v>13244.0</v>
      </c>
      <c r="G17" s="27">
        <f t="shared" si="1"/>
        <v>49486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9506.0</v>
      </c>
      <c r="D18" s="31">
        <v>16681.0</v>
      </c>
      <c r="E18" s="31">
        <v>11770.0</v>
      </c>
      <c r="F18" s="31">
        <v>13505.0</v>
      </c>
      <c r="G18" s="27">
        <f t="shared" si="1"/>
        <v>51462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6542.0</v>
      </c>
      <c r="D19" s="31">
        <v>12051.0</v>
      </c>
      <c r="E19" s="31">
        <v>14399.0</v>
      </c>
      <c r="F19" s="31">
        <v>15669.0</v>
      </c>
      <c r="G19" s="27">
        <f t="shared" si="1"/>
        <v>48661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9116.0</v>
      </c>
      <c r="D20" s="31">
        <v>15688.0</v>
      </c>
      <c r="E20" s="31">
        <v>12109.0</v>
      </c>
      <c r="F20" s="31">
        <v>12012.0</v>
      </c>
      <c r="G20" s="27">
        <f t="shared" si="1"/>
        <v>48925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8856.0</v>
      </c>
      <c r="D21" s="31">
        <v>9174.0</v>
      </c>
      <c r="E21" s="31">
        <v>9270.0</v>
      </c>
      <c r="F21" s="31">
        <v>5648.0</v>
      </c>
      <c r="G21" s="27">
        <f t="shared" si="1"/>
        <v>32948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1">
        <v>18765.0</v>
      </c>
      <c r="E22" s="31">
        <v>8909.0</v>
      </c>
      <c r="F22" s="31">
        <v>6217.0</v>
      </c>
      <c r="G22" s="27">
        <f t="shared" si="1"/>
        <v>33891</v>
      </c>
      <c r="H22" s="32" t="s">
        <v>5</v>
      </c>
      <c r="I22" s="27">
        <f>SUM(G16:G22)</f>
        <v>308966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9302.0</v>
      </c>
      <c r="D23" s="36">
        <v>12907.0</v>
      </c>
      <c r="E23" s="36">
        <v>3438.0</v>
      </c>
      <c r="F23" s="36">
        <v>6948.0</v>
      </c>
      <c r="G23" s="37">
        <f t="shared" si="1"/>
        <v>32595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9114.0</v>
      </c>
      <c r="D24" s="42">
        <v>14956.0</v>
      </c>
      <c r="E24" s="42">
        <v>9750.0</v>
      </c>
      <c r="F24" s="42">
        <v>5921.0</v>
      </c>
      <c r="G24" s="39">
        <f t="shared" si="1"/>
        <v>39741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72336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241332</v>
      </c>
      <c r="D30" s="45">
        <f t="shared" si="2"/>
        <v>284756</v>
      </c>
      <c r="E30" s="45">
        <f t="shared" si="2"/>
        <v>293904</v>
      </c>
      <c r="F30" s="45">
        <f t="shared" si="2"/>
        <v>225637</v>
      </c>
      <c r="G30" s="45">
        <f t="shared" si="2"/>
        <v>1045629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56</v>
      </c>
      <c r="D1" s="48" t="s">
        <v>57</v>
      </c>
      <c r="E1" s="48" t="s">
        <v>58</v>
      </c>
      <c r="F1" s="48" t="s">
        <v>59</v>
      </c>
      <c r="G1" s="3"/>
      <c r="I1" s="3"/>
    </row>
    <row r="2">
      <c r="A2" s="4" t="s">
        <v>4</v>
      </c>
      <c r="B2" s="5">
        <v>46174.0</v>
      </c>
      <c r="C2" s="6">
        <v>11138.0</v>
      </c>
      <c r="D2" s="6">
        <v>10511.0</v>
      </c>
      <c r="E2" s="6">
        <v>15101.0</v>
      </c>
      <c r="F2" s="6">
        <v>10459.0</v>
      </c>
      <c r="G2" s="7">
        <f t="shared" ref="G2:G29" si="1">SUM(C2+D2+E2+F2)</f>
        <v>47209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14633.0</v>
      </c>
      <c r="D3" s="6">
        <v>21010.0</v>
      </c>
      <c r="E3" s="6">
        <v>17224.0</v>
      </c>
      <c r="F3" s="6">
        <v>11988.0</v>
      </c>
      <c r="G3" s="7">
        <f t="shared" si="1"/>
        <v>64855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11921.0</v>
      </c>
      <c r="D4" s="6">
        <v>21651.0</v>
      </c>
      <c r="E4" s="6">
        <v>12032.0</v>
      </c>
      <c r="F4" s="49">
        <v>11782.0</v>
      </c>
      <c r="G4" s="7">
        <f t="shared" si="1"/>
        <v>57386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9152.0</v>
      </c>
      <c r="D5" s="6">
        <v>17762.0</v>
      </c>
      <c r="E5" s="6">
        <v>14457.0</v>
      </c>
      <c r="F5" s="49">
        <v>9042.0</v>
      </c>
      <c r="G5" s="7">
        <f t="shared" si="1"/>
        <v>50413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15465.0</v>
      </c>
      <c r="D6" s="6">
        <v>12994.0</v>
      </c>
      <c r="E6" s="6">
        <v>13035.0</v>
      </c>
      <c r="F6" s="49">
        <v>10068.0</v>
      </c>
      <c r="G6" s="7">
        <f t="shared" si="1"/>
        <v>51562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12408.0</v>
      </c>
      <c r="D7" s="6">
        <v>19111.0</v>
      </c>
      <c r="E7" s="6">
        <v>10329.0</v>
      </c>
      <c r="F7" s="49">
        <v>7737.0</v>
      </c>
      <c r="G7" s="7">
        <f t="shared" si="1"/>
        <v>49585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11207.0</v>
      </c>
      <c r="D8" s="6">
        <v>10648.0</v>
      </c>
      <c r="E8" s="6">
        <v>12024.0</v>
      </c>
      <c r="F8" s="6">
        <v>10495.0</v>
      </c>
      <c r="G8" s="7">
        <f t="shared" si="1"/>
        <v>44374</v>
      </c>
      <c r="H8" s="11" t="s">
        <v>5</v>
      </c>
      <c r="I8" s="12">
        <f>SUM(G2:G8)</f>
        <v>365384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15022.0</v>
      </c>
      <c r="D9" s="16">
        <v>12534.0</v>
      </c>
      <c r="E9" s="16">
        <v>15029.0</v>
      </c>
      <c r="F9" s="16">
        <v>8184.0</v>
      </c>
      <c r="G9" s="17">
        <f t="shared" si="1"/>
        <v>50769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11002.0</v>
      </c>
      <c r="D10" s="19">
        <v>15016.0</v>
      </c>
      <c r="E10" s="19">
        <v>14064.0</v>
      </c>
      <c r="F10" s="19">
        <v>10054.0</v>
      </c>
      <c r="G10" s="17">
        <f t="shared" si="1"/>
        <v>50136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13431.0</v>
      </c>
      <c r="D11" s="51">
        <v>14628.0</v>
      </c>
      <c r="E11" s="51">
        <v>12895.0</v>
      </c>
      <c r="F11" s="51">
        <v>10222.0</v>
      </c>
      <c r="G11" s="17">
        <f t="shared" si="1"/>
        <v>51176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13969.0</v>
      </c>
      <c r="D12" s="51">
        <v>13028.0</v>
      </c>
      <c r="E12" s="51">
        <v>12724.0</v>
      </c>
      <c r="F12" s="51">
        <v>10053.0</v>
      </c>
      <c r="G12" s="17">
        <f t="shared" si="1"/>
        <v>49774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13531.0</v>
      </c>
      <c r="D13" s="19">
        <v>15226.0</v>
      </c>
      <c r="E13" s="19">
        <v>12628.0</v>
      </c>
      <c r="F13" s="19">
        <v>10073.0</v>
      </c>
      <c r="G13" s="17">
        <f t="shared" si="1"/>
        <v>51458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8524.0</v>
      </c>
      <c r="D14" s="19">
        <v>16831.0</v>
      </c>
      <c r="E14" s="19">
        <v>10717.0</v>
      </c>
      <c r="F14" s="19">
        <v>9904.0</v>
      </c>
      <c r="G14" s="17">
        <f t="shared" si="1"/>
        <v>45976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13187.0</v>
      </c>
      <c r="D15" s="19">
        <v>10139.0</v>
      </c>
      <c r="E15" s="19">
        <v>13526.0</v>
      </c>
      <c r="F15" s="19">
        <v>9208.0</v>
      </c>
      <c r="G15" s="17">
        <f t="shared" si="1"/>
        <v>46060</v>
      </c>
      <c r="H15" s="22" t="s">
        <v>5</v>
      </c>
      <c r="I15" s="23">
        <f>SUM(G9:G15)</f>
        <v>345349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13861.0</v>
      </c>
      <c r="D16" s="52">
        <v>16236.0</v>
      </c>
      <c r="E16" s="52">
        <v>13033.0</v>
      </c>
      <c r="F16" s="52">
        <v>8159.0</v>
      </c>
      <c r="G16" s="27">
        <f t="shared" si="1"/>
        <v>51289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13871.0</v>
      </c>
      <c r="D17" s="31">
        <v>12054.0</v>
      </c>
      <c r="E17" s="31">
        <v>10202.0</v>
      </c>
      <c r="F17" s="31">
        <v>10322.0</v>
      </c>
      <c r="G17" s="27">
        <f t="shared" si="1"/>
        <v>46449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11509.0</v>
      </c>
      <c r="D18" s="31">
        <v>13321.0</v>
      </c>
      <c r="E18" s="31">
        <v>12485.0</v>
      </c>
      <c r="F18" s="31">
        <v>10681.0</v>
      </c>
      <c r="G18" s="27">
        <f t="shared" si="1"/>
        <v>47996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15051.0</v>
      </c>
      <c r="D19" s="31">
        <v>11085.0</v>
      </c>
      <c r="E19" s="31">
        <v>11544.0</v>
      </c>
      <c r="F19" s="31">
        <v>8015.0</v>
      </c>
      <c r="G19" s="27">
        <f t="shared" si="1"/>
        <v>45695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8401.0</v>
      </c>
      <c r="D20" s="31">
        <v>10286.0</v>
      </c>
      <c r="E20" s="31">
        <v>8527.0</v>
      </c>
      <c r="F20" s="31">
        <v>8180.0</v>
      </c>
      <c r="G20" s="27">
        <f t="shared" si="1"/>
        <v>35394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12070.0</v>
      </c>
      <c r="D21" s="31">
        <v>9776.0</v>
      </c>
      <c r="E21" s="31">
        <v>12832.0</v>
      </c>
      <c r="F21" s="31">
        <v>10084.0</v>
      </c>
      <c r="G21" s="27">
        <f t="shared" si="1"/>
        <v>44762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5529.0</v>
      </c>
      <c r="D22" s="31">
        <v>10011.0</v>
      </c>
      <c r="E22" s="31">
        <v>10600.0</v>
      </c>
      <c r="F22" s="31">
        <v>9053.0</v>
      </c>
      <c r="G22" s="27">
        <f t="shared" si="1"/>
        <v>35193</v>
      </c>
      <c r="H22" s="32" t="s">
        <v>5</v>
      </c>
      <c r="I22" s="27">
        <f>SUM(G16:G22)</f>
        <v>306778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16731.0</v>
      </c>
      <c r="D23" s="36">
        <v>14855.0</v>
      </c>
      <c r="E23" s="36">
        <v>11424.0</v>
      </c>
      <c r="F23" s="36">
        <v>9053.0</v>
      </c>
      <c r="G23" s="37">
        <f t="shared" si="1"/>
        <v>52063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13453.0</v>
      </c>
      <c r="D24" s="42">
        <v>10283.0</v>
      </c>
      <c r="E24" s="42">
        <v>10671.0</v>
      </c>
      <c r="F24" s="42">
        <v>10096.0</v>
      </c>
      <c r="G24" s="39">
        <f t="shared" si="1"/>
        <v>44503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15041.0</v>
      </c>
      <c r="D25" s="42">
        <v>12291.0</v>
      </c>
      <c r="E25" s="42">
        <v>11292.0</v>
      </c>
      <c r="F25" s="42">
        <v>9553.0</v>
      </c>
      <c r="G25" s="39">
        <f t="shared" si="1"/>
        <v>48177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12640.0</v>
      </c>
      <c r="D26" s="42">
        <v>20110.0</v>
      </c>
      <c r="E26" s="42">
        <v>14177.0</v>
      </c>
      <c r="F26" s="42">
        <v>10666.0</v>
      </c>
      <c r="G26" s="39">
        <f t="shared" si="1"/>
        <v>57593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17422.0</v>
      </c>
      <c r="D27" s="42">
        <v>10049.0</v>
      </c>
      <c r="E27" s="42">
        <v>10355.0</v>
      </c>
      <c r="F27" s="42">
        <v>8751.0</v>
      </c>
      <c r="G27" s="39">
        <f t="shared" si="1"/>
        <v>46577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9238.0</v>
      </c>
      <c r="D28" s="42">
        <v>9830.0</v>
      </c>
      <c r="E28" s="42">
        <v>10385.0</v>
      </c>
      <c r="F28" s="42">
        <v>10673.0</v>
      </c>
      <c r="G28" s="39">
        <f t="shared" si="1"/>
        <v>40126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5377.0</v>
      </c>
      <c r="D29" s="42">
        <v>10221.0</v>
      </c>
      <c r="E29" s="42">
        <v>12193.0</v>
      </c>
      <c r="F29" s="42">
        <v>11057.0</v>
      </c>
      <c r="G29" s="39">
        <f t="shared" si="1"/>
        <v>38848</v>
      </c>
      <c r="H29" s="43" t="s">
        <v>5</v>
      </c>
      <c r="I29" s="44">
        <f>SUM(G23:G29)</f>
        <v>327887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344784</v>
      </c>
      <c r="D30" s="45">
        <f t="shared" si="2"/>
        <v>381497</v>
      </c>
      <c r="E30" s="45">
        <f t="shared" si="2"/>
        <v>345505</v>
      </c>
      <c r="F30" s="45">
        <f t="shared" si="2"/>
        <v>273612</v>
      </c>
      <c r="G30" s="45">
        <f t="shared" si="2"/>
        <v>1345398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60</v>
      </c>
      <c r="D1" s="48" t="s">
        <v>61</v>
      </c>
      <c r="E1" s="48" t="s">
        <v>62</v>
      </c>
      <c r="F1" s="48" t="s">
        <v>63</v>
      </c>
      <c r="G1" s="3"/>
      <c r="I1" s="3"/>
    </row>
    <row r="2">
      <c r="A2" s="4" t="s">
        <v>4</v>
      </c>
      <c r="B2" s="5">
        <v>46174.0</v>
      </c>
      <c r="C2" s="6">
        <v>20143.0</v>
      </c>
      <c r="D2" s="6">
        <v>10815.0</v>
      </c>
      <c r="E2" s="6">
        <v>10316.0</v>
      </c>
      <c r="F2" s="6">
        <v>14680.0</v>
      </c>
      <c r="G2" s="7">
        <f t="shared" ref="G2:G29" si="1">SUM(C2+D2+E2+F2)</f>
        <v>55954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17403.0</v>
      </c>
      <c r="D3" s="6">
        <v>14387.0</v>
      </c>
      <c r="E3" s="6">
        <v>10011.0</v>
      </c>
      <c r="F3" s="6">
        <v>12861.0</v>
      </c>
      <c r="G3" s="7">
        <f t="shared" si="1"/>
        <v>54662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24255.0</v>
      </c>
      <c r="D4" s="6">
        <v>10393.0</v>
      </c>
      <c r="E4" s="6">
        <v>10304.0</v>
      </c>
      <c r="F4" s="49">
        <v>14286.0</v>
      </c>
      <c r="G4" s="7">
        <f t="shared" si="1"/>
        <v>59238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15682.0</v>
      </c>
      <c r="D5" s="6">
        <v>14842.0</v>
      </c>
      <c r="E5" s="6">
        <v>11224.0</v>
      </c>
      <c r="F5" s="49">
        <v>8883.0</v>
      </c>
      <c r="G5" s="7">
        <f t="shared" si="1"/>
        <v>50631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13353.0</v>
      </c>
      <c r="D6" s="6">
        <v>19435.0</v>
      </c>
      <c r="E6" s="6">
        <v>5872.0</v>
      </c>
      <c r="F6" s="49">
        <v>12191.0</v>
      </c>
      <c r="G6" s="7">
        <f t="shared" si="1"/>
        <v>50851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24893.0</v>
      </c>
      <c r="D7" s="6">
        <v>19509.0</v>
      </c>
      <c r="E7" s="6">
        <v>10025.0</v>
      </c>
      <c r="F7" s="49">
        <v>11133.0</v>
      </c>
      <c r="G7" s="7">
        <f t="shared" si="1"/>
        <v>65560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10510.0</v>
      </c>
      <c r="D8" s="6">
        <v>10307.0</v>
      </c>
      <c r="E8" s="49">
        <v>7750.0</v>
      </c>
      <c r="F8" s="49">
        <v>11502.0</v>
      </c>
      <c r="G8" s="7">
        <f t="shared" si="1"/>
        <v>40069</v>
      </c>
      <c r="H8" s="11" t="s">
        <v>5</v>
      </c>
      <c r="I8" s="12">
        <f>SUM(G2:G8)</f>
        <v>376965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12362.0</v>
      </c>
      <c r="D9" s="16">
        <v>14256.0</v>
      </c>
      <c r="E9" s="50">
        <v>10302.0</v>
      </c>
      <c r="F9" s="50">
        <v>10618.0</v>
      </c>
      <c r="G9" s="17">
        <f t="shared" si="1"/>
        <v>47538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13596.0</v>
      </c>
      <c r="D10" s="19">
        <v>20027.0</v>
      </c>
      <c r="E10" s="51">
        <v>10021.0</v>
      </c>
      <c r="F10" s="51">
        <v>11162.0</v>
      </c>
      <c r="G10" s="17">
        <f t="shared" si="1"/>
        <v>54806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12907.0</v>
      </c>
      <c r="D11" s="51">
        <v>16964.0</v>
      </c>
      <c r="E11" s="51">
        <v>11044.0</v>
      </c>
      <c r="F11" s="51">
        <v>9301.0</v>
      </c>
      <c r="G11" s="17">
        <f t="shared" si="1"/>
        <v>50216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12689.0</v>
      </c>
      <c r="D12" s="51">
        <v>12456.0</v>
      </c>
      <c r="E12" s="51">
        <v>7139.0</v>
      </c>
      <c r="F12" s="51">
        <v>5688.0</v>
      </c>
      <c r="G12" s="17">
        <f t="shared" si="1"/>
        <v>37972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10827.0</v>
      </c>
      <c r="D13" s="51">
        <v>16428.0</v>
      </c>
      <c r="E13" s="51">
        <v>7228.0</v>
      </c>
      <c r="F13" s="51">
        <v>4378.0</v>
      </c>
      <c r="G13" s="17">
        <f t="shared" si="1"/>
        <v>38861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10800.0</v>
      </c>
      <c r="D14" s="51">
        <v>18704.0</v>
      </c>
      <c r="E14" s="51">
        <v>6970.0</v>
      </c>
      <c r="F14" s="19">
        <v>6192.0</v>
      </c>
      <c r="G14" s="17">
        <f t="shared" si="1"/>
        <v>42666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10447.0</v>
      </c>
      <c r="D15" s="51">
        <v>16011.0</v>
      </c>
      <c r="E15" s="51">
        <v>10291.0</v>
      </c>
      <c r="F15" s="51">
        <v>9645.0</v>
      </c>
      <c r="G15" s="17">
        <f t="shared" si="1"/>
        <v>46394</v>
      </c>
      <c r="H15" s="22" t="s">
        <v>5</v>
      </c>
      <c r="I15" s="23">
        <f>SUM(G9:G15)</f>
        <v>318453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13654.0</v>
      </c>
      <c r="D16" s="53">
        <v>23142.0</v>
      </c>
      <c r="E16" s="53">
        <v>7821.0</v>
      </c>
      <c r="F16" s="53">
        <v>5782.0</v>
      </c>
      <c r="G16" s="27">
        <f t="shared" si="1"/>
        <v>50399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10069.0</v>
      </c>
      <c r="D17" s="54">
        <v>16337.0</v>
      </c>
      <c r="E17" s="54">
        <v>9568.0</v>
      </c>
      <c r="F17" s="31">
        <v>7294.0</v>
      </c>
      <c r="G17" s="27">
        <f t="shared" si="1"/>
        <v>43268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11603.0</v>
      </c>
      <c r="D18" s="54">
        <v>18594.0</v>
      </c>
      <c r="E18" s="54">
        <v>8509.0</v>
      </c>
      <c r="F18" s="54">
        <v>9043.0</v>
      </c>
      <c r="G18" s="27">
        <f t="shared" si="1"/>
        <v>47749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14803.0</v>
      </c>
      <c r="D19" s="54">
        <v>15649.0</v>
      </c>
      <c r="E19" s="54">
        <v>6404.0</v>
      </c>
      <c r="F19" s="54">
        <v>10087.0</v>
      </c>
      <c r="G19" s="27">
        <f t="shared" si="1"/>
        <v>46943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10553.0</v>
      </c>
      <c r="D20" s="54">
        <v>19110.0</v>
      </c>
      <c r="E20" s="31">
        <v>10478.0</v>
      </c>
      <c r="F20" s="54">
        <v>10104.0</v>
      </c>
      <c r="G20" s="27">
        <f t="shared" si="1"/>
        <v>50245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24221.0</v>
      </c>
      <c r="D21" s="54">
        <v>20124.0</v>
      </c>
      <c r="E21" s="54">
        <v>9704.0</v>
      </c>
      <c r="F21" s="54">
        <v>16161.0</v>
      </c>
      <c r="G21" s="27">
        <f t="shared" si="1"/>
        <v>70210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10259.0</v>
      </c>
      <c r="D22" s="59">
        <v>15209.0</v>
      </c>
      <c r="E22" s="54">
        <v>5121.0</v>
      </c>
      <c r="F22" s="54">
        <v>8354.0</v>
      </c>
      <c r="G22" s="27">
        <f t="shared" si="1"/>
        <v>38943</v>
      </c>
      <c r="H22" s="32" t="s">
        <v>5</v>
      </c>
      <c r="I22" s="27">
        <f>SUM(G16:G22)</f>
        <v>347757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10548.0</v>
      </c>
      <c r="D23" s="55">
        <v>13281.0</v>
      </c>
      <c r="E23" s="36">
        <v>8008.0</v>
      </c>
      <c r="F23" s="36">
        <v>12780.0</v>
      </c>
      <c r="G23" s="37">
        <f t="shared" si="1"/>
        <v>44617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12942.0</v>
      </c>
      <c r="D24" s="56">
        <v>9474.0</v>
      </c>
      <c r="E24" s="56">
        <v>9362.0</v>
      </c>
      <c r="F24" s="56">
        <v>13924.0</v>
      </c>
      <c r="G24" s="39">
        <f t="shared" si="1"/>
        <v>45702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10838.0</v>
      </c>
      <c r="D25" s="56">
        <v>8680.0</v>
      </c>
      <c r="E25" s="42">
        <v>6210.0</v>
      </c>
      <c r="F25" s="56">
        <v>6521.0</v>
      </c>
      <c r="G25" s="39">
        <f t="shared" si="1"/>
        <v>32249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12259.0</v>
      </c>
      <c r="D26" s="56">
        <v>11963.0</v>
      </c>
      <c r="E26" s="56">
        <v>7053.0</v>
      </c>
      <c r="F26" s="56">
        <v>8149.0</v>
      </c>
      <c r="G26" s="39">
        <f t="shared" si="1"/>
        <v>39424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22884.0</v>
      </c>
      <c r="D27" s="56">
        <v>17306.0</v>
      </c>
      <c r="E27" s="56">
        <v>7868.0</v>
      </c>
      <c r="F27" s="56">
        <v>4800.0</v>
      </c>
      <c r="G27" s="39">
        <f t="shared" si="1"/>
        <v>52858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17817.0</v>
      </c>
      <c r="D28" s="56">
        <v>16645.0</v>
      </c>
      <c r="E28" s="56">
        <v>5547.0</v>
      </c>
      <c r="F28" s="56">
        <v>11162.0</v>
      </c>
      <c r="G28" s="39">
        <f t="shared" si="1"/>
        <v>51171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11893.0</v>
      </c>
      <c r="D29" s="56">
        <v>11836.0</v>
      </c>
      <c r="E29" s="56">
        <v>4417.0</v>
      </c>
      <c r="F29" s="56">
        <v>7241.0</v>
      </c>
      <c r="G29" s="39">
        <f t="shared" si="1"/>
        <v>35387</v>
      </c>
      <c r="H29" s="43" t="s">
        <v>5</v>
      </c>
      <c r="I29" s="44">
        <f>SUM(G23:G29)</f>
        <v>301408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404210</v>
      </c>
      <c r="D30" s="45">
        <f t="shared" si="2"/>
        <v>431884</v>
      </c>
      <c r="E30" s="45">
        <f t="shared" si="2"/>
        <v>234567</v>
      </c>
      <c r="F30" s="45">
        <f t="shared" si="2"/>
        <v>273922</v>
      </c>
      <c r="G30" s="45">
        <f t="shared" si="2"/>
        <v>1344583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64</v>
      </c>
      <c r="D1" s="48" t="s">
        <v>65</v>
      </c>
      <c r="E1" s="48" t="s">
        <v>66</v>
      </c>
      <c r="F1" s="48" t="s">
        <v>67</v>
      </c>
      <c r="G1" s="3"/>
      <c r="I1" s="3"/>
    </row>
    <row r="2">
      <c r="A2" s="4" t="s">
        <v>4</v>
      </c>
      <c r="B2" s="5">
        <v>46174.0</v>
      </c>
      <c r="C2" s="6">
        <v>8453.0</v>
      </c>
      <c r="D2" s="6">
        <v>26420.0</v>
      </c>
      <c r="E2" s="6">
        <v>11154.0</v>
      </c>
      <c r="F2" s="6">
        <v>11113.0</v>
      </c>
      <c r="G2" s="7">
        <f t="shared" ref="G2:G29" si="1">SUM(C2+D2+E2+F2)</f>
        <v>57140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7668.0</v>
      </c>
      <c r="D3" s="6">
        <v>22154.0</v>
      </c>
      <c r="E3" s="6">
        <v>11284.0</v>
      </c>
      <c r="F3" s="6">
        <v>14271.0</v>
      </c>
      <c r="G3" s="7">
        <f t="shared" si="1"/>
        <v>55377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15257.0</v>
      </c>
      <c r="D4" s="6">
        <v>16144.0</v>
      </c>
      <c r="E4" s="6">
        <v>11630.0</v>
      </c>
      <c r="F4" s="49">
        <v>16128.0</v>
      </c>
      <c r="G4" s="7">
        <f t="shared" si="1"/>
        <v>59159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11361.0</v>
      </c>
      <c r="D5" s="6">
        <v>16644.0</v>
      </c>
      <c r="E5" s="6">
        <v>16203.0</v>
      </c>
      <c r="F5" s="49">
        <v>13255.0</v>
      </c>
      <c r="G5" s="7">
        <f t="shared" si="1"/>
        <v>57463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10272.0</v>
      </c>
      <c r="D6" s="6">
        <v>19393.0</v>
      </c>
      <c r="E6" s="6">
        <v>10871.0</v>
      </c>
      <c r="F6" s="49">
        <v>10978.0</v>
      </c>
      <c r="G6" s="7">
        <f t="shared" si="1"/>
        <v>51514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5453.0</v>
      </c>
      <c r="D7" s="6">
        <v>18053.0</v>
      </c>
      <c r="E7" s="6">
        <v>10630.0</v>
      </c>
      <c r="F7" s="49">
        <v>14726.0</v>
      </c>
      <c r="G7" s="7">
        <f t="shared" si="1"/>
        <v>48862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13913.0</v>
      </c>
      <c r="D8" s="6">
        <v>16375.0</v>
      </c>
      <c r="E8" s="49">
        <v>12350.0</v>
      </c>
      <c r="F8" s="49">
        <v>13204.0</v>
      </c>
      <c r="G8" s="7">
        <f t="shared" si="1"/>
        <v>55842</v>
      </c>
      <c r="H8" s="11" t="s">
        <v>5</v>
      </c>
      <c r="I8" s="12">
        <f>SUM(G2:G8)</f>
        <v>385357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9411.0</v>
      </c>
      <c r="D9" s="16">
        <v>22169.0</v>
      </c>
      <c r="E9" s="50">
        <v>17990.0</v>
      </c>
      <c r="F9" s="50">
        <v>12111.0</v>
      </c>
      <c r="G9" s="17">
        <f t="shared" si="1"/>
        <v>61681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6901.0</v>
      </c>
      <c r="D10" s="19">
        <v>16135.0</v>
      </c>
      <c r="E10" s="51">
        <v>11515.0</v>
      </c>
      <c r="F10" s="51">
        <v>12691.0</v>
      </c>
      <c r="G10" s="17">
        <f t="shared" si="1"/>
        <v>47242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7799.0</v>
      </c>
      <c r="D11" s="51">
        <v>18017.0</v>
      </c>
      <c r="E11" s="51">
        <v>12400.0</v>
      </c>
      <c r="F11" s="51">
        <v>14482.0</v>
      </c>
      <c r="G11" s="17">
        <f t="shared" si="1"/>
        <v>52698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7492.0</v>
      </c>
      <c r="D12" s="51">
        <v>19667.0</v>
      </c>
      <c r="E12" s="51">
        <v>14072.0</v>
      </c>
      <c r="F12" s="51">
        <v>14095.0</v>
      </c>
      <c r="G12" s="17">
        <f t="shared" si="1"/>
        <v>55326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8392.0</v>
      </c>
      <c r="D13" s="51">
        <v>17159.0</v>
      </c>
      <c r="E13" s="51">
        <v>5153.0</v>
      </c>
      <c r="F13" s="51">
        <v>17001.0</v>
      </c>
      <c r="G13" s="17">
        <f t="shared" si="1"/>
        <v>47705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5457.0</v>
      </c>
      <c r="D14" s="51">
        <v>18731.0</v>
      </c>
      <c r="E14" s="51">
        <v>19802.0</v>
      </c>
      <c r="F14" s="19">
        <v>12473.0</v>
      </c>
      <c r="G14" s="17">
        <f t="shared" si="1"/>
        <v>56463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4569.0</v>
      </c>
      <c r="D15" s="51">
        <v>18131.0</v>
      </c>
      <c r="E15" s="51">
        <v>11724.0</v>
      </c>
      <c r="F15" s="51">
        <v>12364.0</v>
      </c>
      <c r="G15" s="17">
        <f t="shared" si="1"/>
        <v>46788</v>
      </c>
      <c r="H15" s="22" t="s">
        <v>5</v>
      </c>
      <c r="I15" s="23">
        <f>SUM(G9:G15)</f>
        <v>367903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12487.0</v>
      </c>
      <c r="D16" s="53">
        <v>21088.0</v>
      </c>
      <c r="E16" s="53">
        <v>12301.0</v>
      </c>
      <c r="F16" s="53">
        <v>11446.0</v>
      </c>
      <c r="G16" s="27">
        <f t="shared" si="1"/>
        <v>57322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16648.0</v>
      </c>
      <c r="D17" s="54">
        <v>21324.0</v>
      </c>
      <c r="E17" s="54">
        <v>14256.0</v>
      </c>
      <c r="F17" s="31">
        <v>11859.0</v>
      </c>
      <c r="G17" s="27">
        <f t="shared" si="1"/>
        <v>64087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9067.0</v>
      </c>
      <c r="D18" s="54">
        <v>15082.0</v>
      </c>
      <c r="E18" s="54">
        <v>20180.0</v>
      </c>
      <c r="F18" s="54">
        <v>12423.0</v>
      </c>
      <c r="G18" s="27">
        <f t="shared" si="1"/>
        <v>56752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13516.0</v>
      </c>
      <c r="D19" s="54">
        <v>23476.0</v>
      </c>
      <c r="E19" s="54">
        <v>15158.0</v>
      </c>
      <c r="F19" s="54">
        <v>11680.0</v>
      </c>
      <c r="G19" s="27">
        <f t="shared" si="1"/>
        <v>63830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7124.0</v>
      </c>
      <c r="D20" s="54">
        <v>10258.0</v>
      </c>
      <c r="E20" s="31">
        <v>4094.0</v>
      </c>
      <c r="F20" s="54">
        <v>11061.0</v>
      </c>
      <c r="G20" s="27">
        <f t="shared" si="1"/>
        <v>32537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9879.0</v>
      </c>
      <c r="D21" s="54">
        <v>23008.0</v>
      </c>
      <c r="E21" s="54">
        <v>10875.0</v>
      </c>
      <c r="F21" s="54">
        <v>11309.0</v>
      </c>
      <c r="G21" s="27">
        <f t="shared" si="1"/>
        <v>55071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5678.0</v>
      </c>
      <c r="D22" s="54">
        <v>7312.0</v>
      </c>
      <c r="E22" s="54">
        <v>23443.0</v>
      </c>
      <c r="F22" s="54">
        <v>13529.0</v>
      </c>
      <c r="G22" s="27">
        <f t="shared" si="1"/>
        <v>49962</v>
      </c>
      <c r="H22" s="32" t="s">
        <v>5</v>
      </c>
      <c r="I22" s="27">
        <f>SUM(G16:G22)</f>
        <v>379561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5084.0</v>
      </c>
      <c r="D23" s="55">
        <v>20059.0</v>
      </c>
      <c r="E23" s="36">
        <v>13660.0</v>
      </c>
      <c r="F23" s="36">
        <v>11602.0</v>
      </c>
      <c r="G23" s="37">
        <f t="shared" si="1"/>
        <v>50405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11057.0</v>
      </c>
      <c r="D24" s="56">
        <v>18807.0</v>
      </c>
      <c r="E24" s="56">
        <v>13012.0</v>
      </c>
      <c r="F24" s="56">
        <v>10901.0</v>
      </c>
      <c r="G24" s="39">
        <f t="shared" si="1"/>
        <v>53777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11254.0</v>
      </c>
      <c r="D25" s="56">
        <v>20842.0</v>
      </c>
      <c r="E25" s="42">
        <v>11511.0</v>
      </c>
      <c r="F25" s="56">
        <v>12508.0</v>
      </c>
      <c r="G25" s="39">
        <f t="shared" si="1"/>
        <v>56115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8769.0</v>
      </c>
      <c r="D26" s="56">
        <v>21875.0</v>
      </c>
      <c r="E26" s="56">
        <v>14262.0</v>
      </c>
      <c r="F26" s="56">
        <v>13185.0</v>
      </c>
      <c r="G26" s="39">
        <f t="shared" si="1"/>
        <v>58091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5727.0</v>
      </c>
      <c r="D27" s="56">
        <v>19654.0</v>
      </c>
      <c r="E27" s="56">
        <v>8086.0</v>
      </c>
      <c r="F27" s="56">
        <v>12260.0</v>
      </c>
      <c r="G27" s="39">
        <f t="shared" si="1"/>
        <v>45727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8355.0</v>
      </c>
      <c r="D28" s="56">
        <v>17360.0</v>
      </c>
      <c r="E28" s="56">
        <v>13464.0</v>
      </c>
      <c r="F28" s="56">
        <v>11543.0</v>
      </c>
      <c r="G28" s="39">
        <f t="shared" si="1"/>
        <v>50722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17520.0</v>
      </c>
      <c r="D29" s="56">
        <v>18585.0</v>
      </c>
      <c r="E29" s="56">
        <v>20180.0</v>
      </c>
      <c r="F29" s="56">
        <v>13558.0</v>
      </c>
      <c r="G29" s="39">
        <f t="shared" si="1"/>
        <v>69843</v>
      </c>
      <c r="H29" s="43" t="s">
        <v>5</v>
      </c>
      <c r="I29" s="44">
        <f>SUM(G23:G29)</f>
        <v>384680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264563</v>
      </c>
      <c r="D30" s="45">
        <f t="shared" si="2"/>
        <v>523922</v>
      </c>
      <c r="E30" s="45">
        <f t="shared" si="2"/>
        <v>371260</v>
      </c>
      <c r="F30" s="45">
        <f t="shared" si="2"/>
        <v>357756</v>
      </c>
      <c r="G30" s="45">
        <f t="shared" si="2"/>
        <v>1517501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A1" s="60" t="s">
        <v>68</v>
      </c>
      <c r="C1" s="47" t="s">
        <v>69</v>
      </c>
      <c r="D1" s="48" t="s">
        <v>70</v>
      </c>
      <c r="E1" s="48" t="s">
        <v>71</v>
      </c>
      <c r="F1" s="48" t="s">
        <v>72</v>
      </c>
      <c r="G1" s="3"/>
      <c r="I1" s="3"/>
    </row>
    <row r="2">
      <c r="A2" s="4" t="s">
        <v>4</v>
      </c>
      <c r="B2" s="5">
        <v>46174.0</v>
      </c>
      <c r="C2" s="6">
        <v>16247.0</v>
      </c>
      <c r="D2" s="6">
        <v>12220.0</v>
      </c>
      <c r="E2" s="6">
        <v>15633.0</v>
      </c>
      <c r="F2" s="6">
        <v>13408.0</v>
      </c>
      <c r="G2" s="7">
        <f t="shared" ref="G2:G29" si="1">SUM(C2+D2+E2+F2)</f>
        <v>57508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14107.0</v>
      </c>
      <c r="D3" s="6">
        <v>14009.0</v>
      </c>
      <c r="E3" s="6">
        <v>13521.0</v>
      </c>
      <c r="F3" s="6">
        <v>18577.0</v>
      </c>
      <c r="G3" s="7">
        <f t="shared" si="1"/>
        <v>60214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11853.0</v>
      </c>
      <c r="D4" s="6">
        <v>10068.0</v>
      </c>
      <c r="E4" s="6">
        <v>3967.0</v>
      </c>
      <c r="F4" s="49">
        <v>12976.0</v>
      </c>
      <c r="G4" s="7">
        <f t="shared" si="1"/>
        <v>38864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12809.0</v>
      </c>
      <c r="D5" s="6">
        <v>12504.0</v>
      </c>
      <c r="E5" s="6">
        <v>9198.0</v>
      </c>
      <c r="F5" s="49">
        <v>13812.0</v>
      </c>
      <c r="G5" s="7">
        <f t="shared" si="1"/>
        <v>48323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8524.0</v>
      </c>
      <c r="D6" s="6">
        <v>10131.0</v>
      </c>
      <c r="E6" s="6">
        <v>2752.0</v>
      </c>
      <c r="F6" s="6">
        <v>11325.0</v>
      </c>
      <c r="G6" s="7">
        <f t="shared" si="1"/>
        <v>32732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22916.0</v>
      </c>
      <c r="D7" s="6">
        <v>12955.0</v>
      </c>
      <c r="E7" s="6">
        <v>9772.0</v>
      </c>
      <c r="F7" s="49">
        <v>16753.0</v>
      </c>
      <c r="G7" s="7">
        <f t="shared" si="1"/>
        <v>62396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16312.0</v>
      </c>
      <c r="D8" s="6">
        <v>9180.0</v>
      </c>
      <c r="E8" s="6">
        <v>6650.0</v>
      </c>
      <c r="F8" s="6">
        <v>11317.0</v>
      </c>
      <c r="G8" s="7">
        <f t="shared" si="1"/>
        <v>43459</v>
      </c>
      <c r="H8" s="11" t="s">
        <v>5</v>
      </c>
      <c r="I8" s="12">
        <f>SUM(G2:G8)</f>
        <v>343496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11373.0</v>
      </c>
      <c r="D9" s="16">
        <v>13426.0</v>
      </c>
      <c r="E9" s="50">
        <v>10683.0</v>
      </c>
      <c r="F9" s="50">
        <v>13945.0</v>
      </c>
      <c r="G9" s="17">
        <f t="shared" si="1"/>
        <v>49427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12072.0</v>
      </c>
      <c r="D10" s="19">
        <v>11345.0</v>
      </c>
      <c r="E10" s="19">
        <v>17128.0</v>
      </c>
      <c r="F10" s="19">
        <v>9319.0</v>
      </c>
      <c r="G10" s="17">
        <f t="shared" si="1"/>
        <v>49864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12868.0</v>
      </c>
      <c r="D11" s="51">
        <v>9405.0</v>
      </c>
      <c r="E11" s="51">
        <v>14926.0</v>
      </c>
      <c r="F11" s="51">
        <v>13344.0</v>
      </c>
      <c r="G11" s="17">
        <f t="shared" si="1"/>
        <v>50543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5810.0</v>
      </c>
      <c r="D12" s="51">
        <v>16955.0</v>
      </c>
      <c r="E12" s="51">
        <v>10568.0</v>
      </c>
      <c r="F12" s="51">
        <v>11019.0</v>
      </c>
      <c r="G12" s="17">
        <f t="shared" si="1"/>
        <v>44352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12594.0</v>
      </c>
      <c r="D13" s="51">
        <v>5880.0</v>
      </c>
      <c r="E13" s="19">
        <v>10054.0</v>
      </c>
      <c r="F13" s="51">
        <v>12276.0</v>
      </c>
      <c r="G13" s="17">
        <f t="shared" si="1"/>
        <v>40804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12105.0</v>
      </c>
      <c r="D14" s="19">
        <v>7075.0</v>
      </c>
      <c r="E14" s="19">
        <v>10633.0</v>
      </c>
      <c r="F14" s="19">
        <v>14157.0</v>
      </c>
      <c r="G14" s="17">
        <f t="shared" si="1"/>
        <v>43970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10229.0</v>
      </c>
      <c r="D15" s="19">
        <v>11311.0</v>
      </c>
      <c r="E15" s="19">
        <v>10633.0</v>
      </c>
      <c r="F15" s="19">
        <v>17053.0</v>
      </c>
      <c r="G15" s="17">
        <f t="shared" si="1"/>
        <v>49226</v>
      </c>
      <c r="H15" s="22" t="s">
        <v>5</v>
      </c>
      <c r="I15" s="23">
        <f>SUM(G9:G15)</f>
        <v>328186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7185.0</v>
      </c>
      <c r="D16" s="52">
        <v>9210.0</v>
      </c>
      <c r="E16" s="53">
        <v>8997.0</v>
      </c>
      <c r="F16" s="52">
        <v>14039.0</v>
      </c>
      <c r="G16" s="27">
        <f t="shared" si="1"/>
        <v>39431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8975.0</v>
      </c>
      <c r="D17" s="54">
        <v>11076.0</v>
      </c>
      <c r="E17" s="54">
        <v>6694.0</v>
      </c>
      <c r="F17" s="31">
        <v>12258.0</v>
      </c>
      <c r="G17" s="27">
        <f t="shared" si="1"/>
        <v>39003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10119.0</v>
      </c>
      <c r="D18" s="54">
        <v>9223.0</v>
      </c>
      <c r="E18" s="54">
        <v>9541.0</v>
      </c>
      <c r="F18" s="54">
        <v>12054.0</v>
      </c>
      <c r="G18" s="27">
        <f t="shared" si="1"/>
        <v>40937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10080.0</v>
      </c>
      <c r="D19" s="54">
        <v>13663.0</v>
      </c>
      <c r="E19" s="54">
        <v>0.0</v>
      </c>
      <c r="F19" s="54">
        <v>17007.0</v>
      </c>
      <c r="G19" s="27">
        <f t="shared" si="1"/>
        <v>40750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13136.0</v>
      </c>
      <c r="D20" s="54">
        <v>7690.0</v>
      </c>
      <c r="E20" s="31">
        <v>8634.0</v>
      </c>
      <c r="F20" s="54">
        <v>21800.0</v>
      </c>
      <c r="G20" s="27">
        <f t="shared" si="1"/>
        <v>51260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11818.0</v>
      </c>
      <c r="D21" s="54">
        <v>10217.0</v>
      </c>
      <c r="E21" s="54">
        <v>26228.0</v>
      </c>
      <c r="F21" s="54">
        <v>16500.0</v>
      </c>
      <c r="G21" s="27">
        <f t="shared" si="1"/>
        <v>64763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10651.0</v>
      </c>
      <c r="D22" s="54">
        <v>7468.0</v>
      </c>
      <c r="E22" s="54">
        <v>14663.0</v>
      </c>
      <c r="F22" s="54">
        <v>4039.0</v>
      </c>
      <c r="G22" s="27">
        <f t="shared" si="1"/>
        <v>36821</v>
      </c>
      <c r="H22" s="32" t="s">
        <v>5</v>
      </c>
      <c r="I22" s="27">
        <f>SUM(G16:G22)</f>
        <v>312965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7965.0</v>
      </c>
      <c r="D23" s="36">
        <v>10771.0</v>
      </c>
      <c r="E23" s="36">
        <v>5799.0</v>
      </c>
      <c r="F23" s="36">
        <v>12979.0</v>
      </c>
      <c r="G23" s="37">
        <f t="shared" si="1"/>
        <v>37514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11612.0</v>
      </c>
      <c r="D24" s="42">
        <v>8079.0</v>
      </c>
      <c r="E24" s="56">
        <v>11883.0</v>
      </c>
      <c r="F24" s="42">
        <v>13626.0</v>
      </c>
      <c r="G24" s="39">
        <f t="shared" si="1"/>
        <v>45200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5665.0</v>
      </c>
      <c r="D25" s="42">
        <v>11458.0</v>
      </c>
      <c r="E25" s="42">
        <v>9403.0</v>
      </c>
      <c r="F25" s="42">
        <v>15647.0</v>
      </c>
      <c r="G25" s="39">
        <f t="shared" si="1"/>
        <v>42173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10107.0</v>
      </c>
      <c r="D26" s="42">
        <v>12678.0</v>
      </c>
      <c r="E26" s="42">
        <v>6975.0</v>
      </c>
      <c r="F26" s="42">
        <v>8016.0</v>
      </c>
      <c r="G26" s="39">
        <f t="shared" si="1"/>
        <v>37776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10277.0</v>
      </c>
      <c r="D27" s="56">
        <v>7499.0</v>
      </c>
      <c r="E27" s="56">
        <v>8467.0</v>
      </c>
      <c r="F27" s="56">
        <v>16856.0</v>
      </c>
      <c r="G27" s="39">
        <f t="shared" si="1"/>
        <v>43099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10370.0</v>
      </c>
      <c r="D28" s="56">
        <v>8398.0</v>
      </c>
      <c r="E28" s="56">
        <v>13102.0</v>
      </c>
      <c r="F28" s="56">
        <v>20791.0</v>
      </c>
      <c r="G28" s="39">
        <f t="shared" si="1"/>
        <v>52661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12511.0</v>
      </c>
      <c r="D29" s="56">
        <v>9359.0</v>
      </c>
      <c r="E29" s="56">
        <v>4659.0</v>
      </c>
      <c r="F29" s="56">
        <v>9247.0</v>
      </c>
      <c r="G29" s="39">
        <f t="shared" si="1"/>
        <v>35776</v>
      </c>
      <c r="H29" s="43" t="s">
        <v>5</v>
      </c>
      <c r="I29" s="44">
        <f>SUM(G23:G29)</f>
        <v>294199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320290</v>
      </c>
      <c r="D30" s="45">
        <f t="shared" si="2"/>
        <v>293253</v>
      </c>
      <c r="E30" s="45">
        <f t="shared" si="2"/>
        <v>281163</v>
      </c>
      <c r="F30" s="45">
        <f t="shared" si="2"/>
        <v>384140</v>
      </c>
      <c r="G30" s="45">
        <f t="shared" si="2"/>
        <v>1278846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73</v>
      </c>
      <c r="D1" s="48" t="s">
        <v>74</v>
      </c>
      <c r="E1" s="48" t="s">
        <v>75</v>
      </c>
      <c r="F1" s="48" t="s">
        <v>76</v>
      </c>
      <c r="G1" s="3"/>
      <c r="I1" s="3"/>
    </row>
    <row r="2">
      <c r="A2" s="4" t="s">
        <v>4</v>
      </c>
      <c r="B2" s="5">
        <v>46174.0</v>
      </c>
      <c r="C2" s="6">
        <v>18429.0</v>
      </c>
      <c r="D2" s="6">
        <v>11862.0</v>
      </c>
      <c r="E2" s="6">
        <v>10779.0</v>
      </c>
      <c r="F2" s="6">
        <v>7724.0</v>
      </c>
      <c r="G2" s="7">
        <f t="shared" ref="G2:G29" si="1">SUM(C2+D2+E2+F2)</f>
        <v>48794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22351.0</v>
      </c>
      <c r="D3" s="6">
        <v>14797.0</v>
      </c>
      <c r="E3" s="6">
        <v>13296.0</v>
      </c>
      <c r="F3" s="6">
        <v>15712.0</v>
      </c>
      <c r="G3" s="7">
        <f t="shared" si="1"/>
        <v>66156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22908.0</v>
      </c>
      <c r="D4" s="6">
        <v>13892.0</v>
      </c>
      <c r="E4" s="6">
        <v>16626.0</v>
      </c>
      <c r="F4" s="49">
        <v>16723.0</v>
      </c>
      <c r="G4" s="7">
        <f t="shared" si="1"/>
        <v>70149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21380.0</v>
      </c>
      <c r="D5" s="6">
        <v>11920.0</v>
      </c>
      <c r="E5" s="6">
        <v>16330.0</v>
      </c>
      <c r="F5" s="49">
        <v>19155.0</v>
      </c>
      <c r="G5" s="7">
        <f t="shared" si="1"/>
        <v>68785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24878.0</v>
      </c>
      <c r="D6" s="6">
        <v>14983.0</v>
      </c>
      <c r="E6" s="6">
        <v>22953.0</v>
      </c>
      <c r="F6" s="49">
        <v>15205.0</v>
      </c>
      <c r="G6" s="7">
        <f t="shared" si="1"/>
        <v>78019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23381.0</v>
      </c>
      <c r="D7" s="6">
        <v>14544.0</v>
      </c>
      <c r="E7" s="6">
        <v>22214.0</v>
      </c>
      <c r="F7" s="49">
        <v>20951.0</v>
      </c>
      <c r="G7" s="7">
        <f t="shared" si="1"/>
        <v>81090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21241.0</v>
      </c>
      <c r="D8" s="6">
        <v>16914.0</v>
      </c>
      <c r="E8" s="6">
        <v>10026.0</v>
      </c>
      <c r="F8" s="49">
        <v>13252.0</v>
      </c>
      <c r="G8" s="7">
        <f t="shared" si="1"/>
        <v>61433</v>
      </c>
      <c r="H8" s="11" t="s">
        <v>5</v>
      </c>
      <c r="I8" s="12">
        <f>SUM(G2:G8)</f>
        <v>474426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29417.0</v>
      </c>
      <c r="D9" s="16">
        <v>11575.0</v>
      </c>
      <c r="E9" s="50">
        <v>16907.0</v>
      </c>
      <c r="F9" s="50">
        <v>18241.0</v>
      </c>
      <c r="G9" s="17">
        <f t="shared" si="1"/>
        <v>76140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25453.0</v>
      </c>
      <c r="D10" s="19">
        <v>15547.0</v>
      </c>
      <c r="E10" s="51">
        <v>15081.0</v>
      </c>
      <c r="F10" s="51">
        <v>17344.0</v>
      </c>
      <c r="G10" s="17">
        <f t="shared" si="1"/>
        <v>73425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27329.0</v>
      </c>
      <c r="D11" s="19">
        <v>16107.0</v>
      </c>
      <c r="E11" s="19">
        <v>15185.0</v>
      </c>
      <c r="F11" s="19">
        <v>15075.0</v>
      </c>
      <c r="G11" s="17">
        <f t="shared" si="1"/>
        <v>73696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27059.0</v>
      </c>
      <c r="D12" s="51">
        <v>14595.0</v>
      </c>
      <c r="E12" s="51">
        <v>17511.0</v>
      </c>
      <c r="F12" s="51">
        <v>17021.0</v>
      </c>
      <c r="G12" s="17">
        <f t="shared" si="1"/>
        <v>76186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22066.0</v>
      </c>
      <c r="D13" s="51">
        <v>16814.0</v>
      </c>
      <c r="E13" s="51">
        <v>15392.0</v>
      </c>
      <c r="F13" s="51">
        <v>15693.0</v>
      </c>
      <c r="G13" s="17">
        <f t="shared" si="1"/>
        <v>69965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18661.0</v>
      </c>
      <c r="D14" s="51">
        <v>14884.0</v>
      </c>
      <c r="E14" s="51">
        <v>15009.0</v>
      </c>
      <c r="F14" s="19">
        <v>15558.0</v>
      </c>
      <c r="G14" s="17">
        <f t="shared" si="1"/>
        <v>64112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19653.0</v>
      </c>
      <c r="D15" s="51">
        <v>14110.0</v>
      </c>
      <c r="E15" s="51">
        <v>11171.0</v>
      </c>
      <c r="F15" s="51">
        <v>13299.0</v>
      </c>
      <c r="G15" s="17">
        <f t="shared" si="1"/>
        <v>58233</v>
      </c>
      <c r="H15" s="22" t="s">
        <v>5</v>
      </c>
      <c r="I15" s="23">
        <f>SUM(G9:G15)</f>
        <v>491757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27177.0</v>
      </c>
      <c r="D16" s="53">
        <v>25514.0</v>
      </c>
      <c r="E16" s="53">
        <v>17939.0</v>
      </c>
      <c r="F16" s="53">
        <v>19148.0</v>
      </c>
      <c r="G16" s="27">
        <f t="shared" si="1"/>
        <v>89778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24767.0</v>
      </c>
      <c r="D17" s="54">
        <v>9855.0</v>
      </c>
      <c r="E17" s="54">
        <v>17222.0</v>
      </c>
      <c r="F17" s="31">
        <v>19054.0</v>
      </c>
      <c r="G17" s="27">
        <f t="shared" si="1"/>
        <v>70898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21017.0</v>
      </c>
      <c r="D18" s="54">
        <v>10799.0</v>
      </c>
      <c r="E18" s="54">
        <v>15792.0</v>
      </c>
      <c r="F18" s="54">
        <v>18423.0</v>
      </c>
      <c r="G18" s="27">
        <f t="shared" si="1"/>
        <v>66031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20889.0</v>
      </c>
      <c r="D19" s="54">
        <v>13725.0</v>
      </c>
      <c r="E19" s="54">
        <v>18794.0</v>
      </c>
      <c r="F19" s="54">
        <v>16065.0</v>
      </c>
      <c r="G19" s="27">
        <f t="shared" si="1"/>
        <v>69473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25124.0</v>
      </c>
      <c r="D20" s="54">
        <v>13745.0</v>
      </c>
      <c r="E20" s="31">
        <v>17040.0</v>
      </c>
      <c r="F20" s="54">
        <v>19159.0</v>
      </c>
      <c r="G20" s="27">
        <f t="shared" si="1"/>
        <v>75068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25813.0</v>
      </c>
      <c r="D21" s="54">
        <v>10458.0</v>
      </c>
      <c r="E21" s="54">
        <v>19974.0</v>
      </c>
      <c r="F21" s="54">
        <v>17784.0</v>
      </c>
      <c r="G21" s="27">
        <f t="shared" si="1"/>
        <v>74029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13808.0</v>
      </c>
      <c r="D22" s="31">
        <v>11985.0</v>
      </c>
      <c r="E22" s="31">
        <v>10498.0</v>
      </c>
      <c r="F22" s="31">
        <v>15280.0</v>
      </c>
      <c r="G22" s="27">
        <f t="shared" si="1"/>
        <v>51571</v>
      </c>
      <c r="H22" s="32" t="s">
        <v>5</v>
      </c>
      <c r="I22" s="27">
        <f>SUM(G16:G22)</f>
        <v>496848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13185.0</v>
      </c>
      <c r="D23" s="36">
        <v>16373.0</v>
      </c>
      <c r="E23" s="36">
        <v>17020.0</v>
      </c>
      <c r="F23" s="36">
        <v>17049.0</v>
      </c>
      <c r="G23" s="37">
        <f t="shared" si="1"/>
        <v>63627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14149.0</v>
      </c>
      <c r="D24" s="42">
        <v>23186.0</v>
      </c>
      <c r="E24" s="42">
        <v>14931.0</v>
      </c>
      <c r="F24" s="42">
        <v>18055.0</v>
      </c>
      <c r="G24" s="39">
        <f t="shared" si="1"/>
        <v>70321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15659.0</v>
      </c>
      <c r="D25" s="56">
        <v>27155.0</v>
      </c>
      <c r="E25" s="42">
        <v>15906.0</v>
      </c>
      <c r="F25" s="42">
        <v>17391.0</v>
      </c>
      <c r="G25" s="39">
        <f t="shared" si="1"/>
        <v>76111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23182.0</v>
      </c>
      <c r="D26" s="56">
        <v>14161.0</v>
      </c>
      <c r="E26" s="56">
        <v>15430.0</v>
      </c>
      <c r="F26" s="56">
        <v>16408.0</v>
      </c>
      <c r="G26" s="39">
        <f t="shared" si="1"/>
        <v>69181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16065.0</v>
      </c>
      <c r="D27" s="56">
        <v>11236.0</v>
      </c>
      <c r="E27" s="56">
        <v>10020.0</v>
      </c>
      <c r="F27" s="56">
        <v>17072.0</v>
      </c>
      <c r="G27" s="39">
        <f t="shared" si="1"/>
        <v>54393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11419.0</v>
      </c>
      <c r="D28" s="42">
        <v>9253.0</v>
      </c>
      <c r="E28" s="56">
        <v>9559.0</v>
      </c>
      <c r="F28" s="56">
        <v>11087.0</v>
      </c>
      <c r="G28" s="39">
        <f t="shared" si="1"/>
        <v>41318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11216.0</v>
      </c>
      <c r="D29" s="42">
        <v>14563.0</v>
      </c>
      <c r="E29" s="56">
        <v>7373.0</v>
      </c>
      <c r="F29" s="56">
        <v>13946.0</v>
      </c>
      <c r="G29" s="39">
        <f t="shared" si="1"/>
        <v>47098</v>
      </c>
      <c r="H29" s="43" t="s">
        <v>5</v>
      </c>
      <c r="I29" s="44">
        <f>SUM(G23:G29)</f>
        <v>422049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587676</v>
      </c>
      <c r="D30" s="45">
        <f t="shared" si="2"/>
        <v>414552</v>
      </c>
      <c r="E30" s="45">
        <f t="shared" si="2"/>
        <v>425978</v>
      </c>
      <c r="F30" s="45">
        <f t="shared" si="2"/>
        <v>456874</v>
      </c>
      <c r="G30" s="45">
        <f t="shared" si="2"/>
        <v>1885080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77</v>
      </c>
      <c r="D1" s="48" t="s">
        <v>78</v>
      </c>
      <c r="E1" s="48" t="s">
        <v>79</v>
      </c>
      <c r="F1" s="48" t="s">
        <v>80</v>
      </c>
      <c r="G1" s="3"/>
      <c r="I1" s="3"/>
    </row>
    <row r="2">
      <c r="A2" s="4" t="s">
        <v>4</v>
      </c>
      <c r="B2" s="5">
        <v>46174.0</v>
      </c>
      <c r="C2" s="6">
        <v>15205.0</v>
      </c>
      <c r="D2" s="6">
        <v>11171.0</v>
      </c>
      <c r="E2" s="6">
        <v>12828.0</v>
      </c>
      <c r="F2" s="6">
        <v>9879.0</v>
      </c>
      <c r="G2" s="7">
        <f t="shared" ref="G2:G29" si="1">SUM(C2+D2+E2+F2)</f>
        <v>49083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15782.0</v>
      </c>
      <c r="D3" s="6">
        <v>21720.0</v>
      </c>
      <c r="E3" s="6">
        <v>14157.0</v>
      </c>
      <c r="F3" s="6">
        <v>15147.0</v>
      </c>
      <c r="G3" s="7">
        <f t="shared" si="1"/>
        <v>66806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16386.0</v>
      </c>
      <c r="D4" s="6">
        <v>12861.0</v>
      </c>
      <c r="E4" s="6">
        <v>12364.0</v>
      </c>
      <c r="F4" s="49">
        <v>14477.0</v>
      </c>
      <c r="G4" s="7">
        <f t="shared" si="1"/>
        <v>56088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17625.0</v>
      </c>
      <c r="D5" s="6">
        <v>10933.0</v>
      </c>
      <c r="E5" s="6">
        <v>13221.0</v>
      </c>
      <c r="F5" s="49">
        <v>15406.0</v>
      </c>
      <c r="G5" s="7">
        <f t="shared" si="1"/>
        <v>57185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10058.0</v>
      </c>
      <c r="D6" s="6">
        <v>12519.0</v>
      </c>
      <c r="E6" s="6">
        <v>10955.0</v>
      </c>
      <c r="F6" s="49">
        <v>15898.0</v>
      </c>
      <c r="G6" s="7">
        <f t="shared" si="1"/>
        <v>49430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11781.0</v>
      </c>
      <c r="D7" s="6">
        <v>11252.0</v>
      </c>
      <c r="E7" s="6">
        <v>15916.0</v>
      </c>
      <c r="F7" s="49">
        <v>15723.0</v>
      </c>
      <c r="G7" s="7">
        <f t="shared" si="1"/>
        <v>54672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10575.0</v>
      </c>
      <c r="D8" s="6">
        <v>10301.0</v>
      </c>
      <c r="E8" s="49">
        <v>13455.0</v>
      </c>
      <c r="F8" s="49">
        <v>10900.0</v>
      </c>
      <c r="G8" s="7">
        <f t="shared" si="1"/>
        <v>45231</v>
      </c>
      <c r="H8" s="11" t="s">
        <v>5</v>
      </c>
      <c r="I8" s="12">
        <f>SUM(G2:G8)</f>
        <v>378495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18885.0</v>
      </c>
      <c r="D9" s="16">
        <v>15279.0</v>
      </c>
      <c r="E9" s="50">
        <v>13203.0</v>
      </c>
      <c r="F9" s="50">
        <v>15500.0</v>
      </c>
      <c r="G9" s="17">
        <f t="shared" si="1"/>
        <v>62867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12046.0</v>
      </c>
      <c r="D10" s="19">
        <v>16394.0</v>
      </c>
      <c r="E10" s="51">
        <v>12885.0</v>
      </c>
      <c r="F10" s="51">
        <v>11185.0</v>
      </c>
      <c r="G10" s="17">
        <f t="shared" si="1"/>
        <v>52510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17400.0</v>
      </c>
      <c r="D11" s="51">
        <v>15451.0</v>
      </c>
      <c r="E11" s="51">
        <v>15552.0</v>
      </c>
      <c r="F11" s="51">
        <v>18445.0</v>
      </c>
      <c r="G11" s="17">
        <f t="shared" si="1"/>
        <v>66848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16700.0</v>
      </c>
      <c r="D12" s="51">
        <v>16600.0</v>
      </c>
      <c r="E12" s="51">
        <v>12374.0</v>
      </c>
      <c r="F12" s="51">
        <v>17531.0</v>
      </c>
      <c r="G12" s="17">
        <f t="shared" si="1"/>
        <v>63205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14975.0</v>
      </c>
      <c r="D13" s="51">
        <v>15655.0</v>
      </c>
      <c r="E13" s="51">
        <v>16816.0</v>
      </c>
      <c r="F13" s="51">
        <v>13363.0</v>
      </c>
      <c r="G13" s="17">
        <f t="shared" si="1"/>
        <v>60809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14586.0</v>
      </c>
      <c r="D14" s="51">
        <v>17382.0</v>
      </c>
      <c r="E14" s="51">
        <v>12390.0</v>
      </c>
      <c r="F14" s="19">
        <v>17100.0</v>
      </c>
      <c r="G14" s="17">
        <f t="shared" si="1"/>
        <v>61458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10807.0</v>
      </c>
      <c r="D15" s="51">
        <v>16109.0</v>
      </c>
      <c r="E15" s="51">
        <v>10550.0</v>
      </c>
      <c r="F15" s="51">
        <v>11777.0</v>
      </c>
      <c r="G15" s="17">
        <f t="shared" si="1"/>
        <v>49243</v>
      </c>
      <c r="H15" s="22" t="s">
        <v>5</v>
      </c>
      <c r="I15" s="23">
        <f>SUM(G9:G15)</f>
        <v>416940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14092.0</v>
      </c>
      <c r="D16" s="53">
        <v>15482.0</v>
      </c>
      <c r="E16" s="53">
        <v>12068.0</v>
      </c>
      <c r="F16" s="53">
        <v>18028.0</v>
      </c>
      <c r="G16" s="27">
        <f t="shared" si="1"/>
        <v>59670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13764.0</v>
      </c>
      <c r="D17" s="54">
        <v>18081.0</v>
      </c>
      <c r="E17" s="54">
        <v>16409.0</v>
      </c>
      <c r="F17" s="31">
        <v>16347.0</v>
      </c>
      <c r="G17" s="27">
        <f t="shared" si="1"/>
        <v>64601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12669.0</v>
      </c>
      <c r="D18" s="54">
        <v>16967.0</v>
      </c>
      <c r="E18" s="54">
        <v>11949.0</v>
      </c>
      <c r="F18" s="54">
        <v>15714.0</v>
      </c>
      <c r="G18" s="27">
        <f t="shared" si="1"/>
        <v>57299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11286.0</v>
      </c>
      <c r="D19" s="54">
        <v>15348.0</v>
      </c>
      <c r="E19" s="54">
        <v>13976.0</v>
      </c>
      <c r="F19" s="54">
        <v>14356.0</v>
      </c>
      <c r="G19" s="27">
        <f t="shared" si="1"/>
        <v>54966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9312.0</v>
      </c>
      <c r="D20" s="54">
        <v>16866.0</v>
      </c>
      <c r="E20" s="31">
        <v>10292.0</v>
      </c>
      <c r="F20" s="54">
        <v>16503.0</v>
      </c>
      <c r="G20" s="27">
        <f t="shared" si="1"/>
        <v>52973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6423.0</v>
      </c>
      <c r="D21" s="54">
        <v>15687.0</v>
      </c>
      <c r="E21" s="54">
        <v>13926.0</v>
      </c>
      <c r="F21" s="54">
        <v>17318.0</v>
      </c>
      <c r="G21" s="27">
        <f t="shared" si="1"/>
        <v>53354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18163.0</v>
      </c>
      <c r="D22" s="54">
        <v>13672.0</v>
      </c>
      <c r="E22" s="54">
        <v>17635.0</v>
      </c>
      <c r="F22" s="54">
        <v>16036.0</v>
      </c>
      <c r="G22" s="27">
        <f t="shared" si="1"/>
        <v>65506</v>
      </c>
      <c r="H22" s="32" t="s">
        <v>5</v>
      </c>
      <c r="I22" s="27">
        <f>SUM(G16:G22)</f>
        <v>408369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10798.0</v>
      </c>
      <c r="D23" s="55">
        <v>17107.0</v>
      </c>
      <c r="E23" s="36">
        <v>9178.0</v>
      </c>
      <c r="F23" s="36">
        <v>13385.0</v>
      </c>
      <c r="G23" s="37">
        <f t="shared" si="1"/>
        <v>50468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11438.0</v>
      </c>
      <c r="D24" s="56">
        <v>16035.0</v>
      </c>
      <c r="E24" s="56">
        <v>13861.0</v>
      </c>
      <c r="F24" s="56">
        <v>19200.0</v>
      </c>
      <c r="G24" s="39">
        <f t="shared" si="1"/>
        <v>60534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11351.0</v>
      </c>
      <c r="D25" s="56">
        <v>16205.0</v>
      </c>
      <c r="E25" s="42">
        <v>13458.0</v>
      </c>
      <c r="F25" s="56">
        <v>15229.0</v>
      </c>
      <c r="G25" s="39">
        <f t="shared" si="1"/>
        <v>56243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12794.0</v>
      </c>
      <c r="D26" s="56">
        <v>16501.0</v>
      </c>
      <c r="E26" s="56">
        <v>13151.0</v>
      </c>
      <c r="F26" s="56">
        <v>14126.0</v>
      </c>
      <c r="G26" s="39">
        <f t="shared" si="1"/>
        <v>56572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14342.0</v>
      </c>
      <c r="D27" s="56">
        <v>8496.0</v>
      </c>
      <c r="E27" s="56">
        <v>11355.0</v>
      </c>
      <c r="F27" s="56">
        <v>10361.0</v>
      </c>
      <c r="G27" s="39">
        <f t="shared" si="1"/>
        <v>44554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13147.0</v>
      </c>
      <c r="D28" s="56">
        <v>11926.0</v>
      </c>
      <c r="E28" s="56">
        <v>13792.0</v>
      </c>
      <c r="F28" s="56">
        <v>10163.0</v>
      </c>
      <c r="G28" s="39">
        <f t="shared" si="1"/>
        <v>49028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13482.0</v>
      </c>
      <c r="D29" s="56">
        <v>10471.0</v>
      </c>
      <c r="E29" s="56">
        <v>7245.0</v>
      </c>
      <c r="F29" s="56">
        <v>11182.0</v>
      </c>
      <c r="G29" s="39">
        <f t="shared" si="1"/>
        <v>42380</v>
      </c>
      <c r="H29" s="43" t="s">
        <v>5</v>
      </c>
      <c r="I29" s="44">
        <f>SUM(G23:G29)</f>
        <v>359779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375872</v>
      </c>
      <c r="D30" s="45">
        <f t="shared" si="2"/>
        <v>412471</v>
      </c>
      <c r="E30" s="45">
        <f t="shared" si="2"/>
        <v>364961</v>
      </c>
      <c r="F30" s="45">
        <f t="shared" si="2"/>
        <v>410279</v>
      </c>
      <c r="G30" s="45">
        <f t="shared" si="2"/>
        <v>1563583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81</v>
      </c>
      <c r="D1" s="48" t="s">
        <v>82</v>
      </c>
      <c r="E1" s="48" t="s">
        <v>83</v>
      </c>
      <c r="F1" s="48" t="s">
        <v>84</v>
      </c>
      <c r="G1" s="3"/>
      <c r="I1" s="3"/>
    </row>
    <row r="2">
      <c r="A2" s="4" t="s">
        <v>4</v>
      </c>
      <c r="B2" s="5">
        <v>46174.0</v>
      </c>
      <c r="C2" s="61">
        <v>11257.0</v>
      </c>
      <c r="D2" s="61">
        <v>3159.0</v>
      </c>
      <c r="E2" s="61">
        <v>26305.0</v>
      </c>
      <c r="F2" s="61">
        <v>12040.0</v>
      </c>
      <c r="G2" s="7">
        <f t="shared" ref="G2:G29" si="1">SUM(C2+D2+E2+F2)</f>
        <v>52761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15214.0</v>
      </c>
      <c r="D3" s="6">
        <v>8075.0</v>
      </c>
      <c r="E3" s="6">
        <v>28300.0</v>
      </c>
      <c r="F3" s="6">
        <v>15159.0</v>
      </c>
      <c r="G3" s="7">
        <f t="shared" si="1"/>
        <v>66748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15498.0</v>
      </c>
      <c r="D4" s="6">
        <v>11251.0</v>
      </c>
      <c r="E4" s="6">
        <v>16794.0</v>
      </c>
      <c r="F4" s="6">
        <v>16059.0</v>
      </c>
      <c r="G4" s="7">
        <f t="shared" si="1"/>
        <v>59602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13592.0</v>
      </c>
      <c r="D5" s="6">
        <v>5356.0</v>
      </c>
      <c r="E5" s="6">
        <v>20529.0</v>
      </c>
      <c r="F5" s="6">
        <v>16375.0</v>
      </c>
      <c r="G5" s="7">
        <f t="shared" si="1"/>
        <v>55852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12420.0</v>
      </c>
      <c r="D6" s="6">
        <v>8028.0</v>
      </c>
      <c r="E6" s="6">
        <v>16468.0</v>
      </c>
      <c r="F6" s="6">
        <v>15510.0</v>
      </c>
      <c r="G6" s="7">
        <f t="shared" si="1"/>
        <v>52426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15806.0</v>
      </c>
      <c r="D7" s="6">
        <v>8804.0</v>
      </c>
      <c r="E7" s="6">
        <v>13445.0</v>
      </c>
      <c r="F7" s="6">
        <v>11816.0</v>
      </c>
      <c r="G7" s="7">
        <f t="shared" si="1"/>
        <v>49871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10223.0</v>
      </c>
      <c r="D8" s="6">
        <v>6411.0</v>
      </c>
      <c r="E8" s="6">
        <v>10007.0</v>
      </c>
      <c r="F8" s="6">
        <v>10703.0</v>
      </c>
      <c r="G8" s="7">
        <f t="shared" si="1"/>
        <v>37344</v>
      </c>
      <c r="H8" s="11" t="s">
        <v>5</v>
      </c>
      <c r="I8" s="12">
        <f>SUM(G2:G8)</f>
        <v>374604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13138.0</v>
      </c>
      <c r="D9" s="16">
        <v>5731.0</v>
      </c>
      <c r="E9" s="16">
        <v>24087.0</v>
      </c>
      <c r="F9" s="16">
        <v>15162.0</v>
      </c>
      <c r="G9" s="17">
        <f t="shared" si="1"/>
        <v>58118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17030.0</v>
      </c>
      <c r="D10" s="19">
        <v>10550.0</v>
      </c>
      <c r="E10" s="19">
        <v>19062.0</v>
      </c>
      <c r="F10" s="19">
        <v>17594.0</v>
      </c>
      <c r="G10" s="17">
        <f t="shared" si="1"/>
        <v>64236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13212.0</v>
      </c>
      <c r="D11" s="19">
        <v>10022.0</v>
      </c>
      <c r="E11" s="19">
        <v>17755.0</v>
      </c>
      <c r="F11" s="19">
        <v>15237.0</v>
      </c>
      <c r="G11" s="17">
        <f t="shared" si="1"/>
        <v>56226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12724.0</v>
      </c>
      <c r="D12" s="19">
        <v>10018.0</v>
      </c>
      <c r="E12" s="19">
        <v>18340.0</v>
      </c>
      <c r="F12" s="19">
        <v>18262.0</v>
      </c>
      <c r="G12" s="17">
        <f t="shared" si="1"/>
        <v>59344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15226.0</v>
      </c>
      <c r="D13" s="19">
        <v>3933.0</v>
      </c>
      <c r="E13" s="19">
        <v>12630.0</v>
      </c>
      <c r="F13" s="19">
        <v>6258.0</v>
      </c>
      <c r="G13" s="17">
        <f t="shared" si="1"/>
        <v>38047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14165.0</v>
      </c>
      <c r="D14" s="19">
        <v>7042.0</v>
      </c>
      <c r="E14" s="19">
        <v>13480.0</v>
      </c>
      <c r="F14" s="19">
        <v>13519.0</v>
      </c>
      <c r="G14" s="17">
        <f t="shared" si="1"/>
        <v>48206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10609.0</v>
      </c>
      <c r="D15" s="19">
        <v>6113.0</v>
      </c>
      <c r="E15" s="19">
        <v>9503.0</v>
      </c>
      <c r="F15" s="19">
        <v>16040.0</v>
      </c>
      <c r="G15" s="17">
        <f t="shared" si="1"/>
        <v>42265</v>
      </c>
      <c r="H15" s="22" t="s">
        <v>5</v>
      </c>
      <c r="I15" s="23">
        <f>SUM(G9:G15)</f>
        <v>366442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13137.0</v>
      </c>
      <c r="D16" s="52">
        <v>8060.0</v>
      </c>
      <c r="E16" s="52">
        <v>14013.0</v>
      </c>
      <c r="F16" s="52">
        <v>12141.0</v>
      </c>
      <c r="G16" s="27">
        <f t="shared" si="1"/>
        <v>47351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16169.0</v>
      </c>
      <c r="D17" s="31">
        <v>10010.0</v>
      </c>
      <c r="E17" s="31">
        <v>17669.0</v>
      </c>
      <c r="F17" s="31">
        <v>10773.0</v>
      </c>
      <c r="G17" s="27">
        <f t="shared" si="1"/>
        <v>54621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11701.0</v>
      </c>
      <c r="D18" s="31">
        <v>4891.0</v>
      </c>
      <c r="E18" s="31">
        <v>10023.0</v>
      </c>
      <c r="F18" s="31">
        <v>16007.0</v>
      </c>
      <c r="G18" s="27">
        <f t="shared" si="1"/>
        <v>42622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11041.0</v>
      </c>
      <c r="D19" s="31">
        <v>9894.0</v>
      </c>
      <c r="E19" s="31">
        <v>13103.0</v>
      </c>
      <c r="F19" s="31">
        <v>18539.0</v>
      </c>
      <c r="G19" s="27">
        <f t="shared" si="1"/>
        <v>52577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14885.0</v>
      </c>
      <c r="D20" s="31">
        <v>6998.0</v>
      </c>
      <c r="E20" s="31">
        <v>12738.0</v>
      </c>
      <c r="F20" s="31">
        <v>20263.0</v>
      </c>
      <c r="G20" s="27">
        <f t="shared" si="1"/>
        <v>54884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6492.0</v>
      </c>
      <c r="D21" s="31">
        <v>11267.0</v>
      </c>
      <c r="E21" s="31">
        <v>16601.0</v>
      </c>
      <c r="F21" s="31">
        <v>5398.0</v>
      </c>
      <c r="G21" s="27">
        <f t="shared" si="1"/>
        <v>39758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10330.0</v>
      </c>
      <c r="D22" s="31">
        <v>7739.0</v>
      </c>
      <c r="E22" s="31">
        <v>13118.0</v>
      </c>
      <c r="F22" s="31">
        <v>8897.0</v>
      </c>
      <c r="G22" s="27">
        <f t="shared" si="1"/>
        <v>40084</v>
      </c>
      <c r="H22" s="32" t="s">
        <v>5</v>
      </c>
      <c r="I22" s="27">
        <f>SUM(G16:G22)</f>
        <v>331897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15284.0</v>
      </c>
      <c r="D23" s="36">
        <v>7713.0</v>
      </c>
      <c r="E23" s="36">
        <v>16070.0</v>
      </c>
      <c r="F23" s="36">
        <v>5787.0</v>
      </c>
      <c r="G23" s="37">
        <f t="shared" si="1"/>
        <v>44854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13474.0</v>
      </c>
      <c r="D24" s="42">
        <v>10118.0</v>
      </c>
      <c r="E24" s="42">
        <v>13157.0</v>
      </c>
      <c r="F24" s="42">
        <v>7824.0</v>
      </c>
      <c r="G24" s="39">
        <f t="shared" si="1"/>
        <v>44573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8471.0</v>
      </c>
      <c r="D25" s="42">
        <v>7274.0</v>
      </c>
      <c r="E25" s="42">
        <v>11283.0</v>
      </c>
      <c r="F25" s="42">
        <v>8251.0</v>
      </c>
      <c r="G25" s="39">
        <f t="shared" si="1"/>
        <v>35279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8230.0</v>
      </c>
      <c r="D26" s="42">
        <v>10068.0</v>
      </c>
      <c r="E26" s="42">
        <v>12030.0</v>
      </c>
      <c r="F26" s="42">
        <v>8974.0</v>
      </c>
      <c r="G26" s="39">
        <f t="shared" si="1"/>
        <v>39302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11471.0</v>
      </c>
      <c r="D27" s="42">
        <v>6763.0</v>
      </c>
      <c r="E27" s="42">
        <v>13009.0</v>
      </c>
      <c r="F27" s="42">
        <v>14404.0</v>
      </c>
      <c r="G27" s="39">
        <f t="shared" si="1"/>
        <v>45647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13837.0</v>
      </c>
      <c r="D28" s="42">
        <v>9117.0</v>
      </c>
      <c r="E28" s="42">
        <v>15236.0</v>
      </c>
      <c r="F28" s="42">
        <v>14025.0</v>
      </c>
      <c r="G28" s="39">
        <f t="shared" si="1"/>
        <v>52215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7505.0</v>
      </c>
      <c r="D29" s="42">
        <v>7031.0</v>
      </c>
      <c r="E29" s="42">
        <v>15643.0</v>
      </c>
      <c r="F29" s="42">
        <v>10051.0</v>
      </c>
      <c r="G29" s="39">
        <f t="shared" si="1"/>
        <v>40230</v>
      </c>
      <c r="H29" s="43" t="s">
        <v>5</v>
      </c>
      <c r="I29" s="44">
        <f>SUM(G23:G29)</f>
        <v>302100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352141</v>
      </c>
      <c r="D30" s="45">
        <f t="shared" si="2"/>
        <v>221436</v>
      </c>
      <c r="E30" s="45">
        <f t="shared" si="2"/>
        <v>440398</v>
      </c>
      <c r="F30" s="45">
        <f t="shared" si="2"/>
        <v>361068</v>
      </c>
      <c r="G30" s="45">
        <f t="shared" si="2"/>
        <v>1375043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85</v>
      </c>
      <c r="D1" s="48" t="s">
        <v>86</v>
      </c>
      <c r="E1" s="48" t="s">
        <v>87</v>
      </c>
      <c r="F1" s="48" t="s">
        <v>88</v>
      </c>
      <c r="G1" s="3"/>
      <c r="I1" s="3"/>
    </row>
    <row r="2">
      <c r="A2" s="4" t="s">
        <v>4</v>
      </c>
      <c r="B2" s="5">
        <v>46174.0</v>
      </c>
      <c r="C2" s="6">
        <v>16509.0</v>
      </c>
      <c r="D2" s="6">
        <v>7868.0</v>
      </c>
      <c r="E2" s="6">
        <v>13359.0</v>
      </c>
      <c r="F2" s="6">
        <v>4941.0</v>
      </c>
      <c r="G2" s="7">
        <f t="shared" ref="G2:G29" si="1">SUM(C2+D2+E2+F2)</f>
        <v>42677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24382.0</v>
      </c>
      <c r="D3" s="6">
        <v>14601.0</v>
      </c>
      <c r="E3" s="6">
        <v>12935.0</v>
      </c>
      <c r="F3" s="6">
        <v>6063.0</v>
      </c>
      <c r="G3" s="7">
        <f t="shared" si="1"/>
        <v>57981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22816.0</v>
      </c>
      <c r="D4" s="6">
        <v>7426.0</v>
      </c>
      <c r="E4" s="6">
        <v>12172.0</v>
      </c>
      <c r="F4" s="6">
        <v>4791.0</v>
      </c>
      <c r="G4" s="7">
        <f t="shared" si="1"/>
        <v>47205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19550.0</v>
      </c>
      <c r="D5" s="6">
        <v>12318.0</v>
      </c>
      <c r="E5" s="6">
        <v>17956.0</v>
      </c>
      <c r="F5" s="6">
        <v>6943.0</v>
      </c>
      <c r="G5" s="7">
        <f t="shared" si="1"/>
        <v>56767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22126.0</v>
      </c>
      <c r="D6" s="6">
        <v>20220.0</v>
      </c>
      <c r="E6" s="6">
        <v>13921.0</v>
      </c>
      <c r="F6" s="6">
        <v>10109.0</v>
      </c>
      <c r="G6" s="7">
        <f t="shared" si="1"/>
        <v>66376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19341.0</v>
      </c>
      <c r="D7" s="6">
        <v>18009.0</v>
      </c>
      <c r="E7" s="6">
        <v>10939.0</v>
      </c>
      <c r="F7" s="6">
        <v>13307.0</v>
      </c>
      <c r="G7" s="7">
        <f t="shared" si="1"/>
        <v>61596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8923.0</v>
      </c>
      <c r="D8" s="6">
        <v>8079.0</v>
      </c>
      <c r="E8" s="6">
        <v>11265.0</v>
      </c>
      <c r="F8" s="6">
        <v>7409.0</v>
      </c>
      <c r="G8" s="7">
        <f t="shared" si="1"/>
        <v>35676</v>
      </c>
      <c r="H8" s="11" t="s">
        <v>5</v>
      </c>
      <c r="I8" s="12">
        <f>SUM(G2:G8)</f>
        <v>368278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17253.0</v>
      </c>
      <c r="D9" s="16">
        <v>4414.0</v>
      </c>
      <c r="E9" s="16">
        <v>11268.0</v>
      </c>
      <c r="F9" s="16">
        <v>6472.0</v>
      </c>
      <c r="G9" s="17">
        <f t="shared" si="1"/>
        <v>39407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28183.0</v>
      </c>
      <c r="D10" s="19">
        <v>9517.0</v>
      </c>
      <c r="E10" s="19">
        <v>15399.0</v>
      </c>
      <c r="F10" s="19">
        <v>7574.0</v>
      </c>
      <c r="G10" s="17">
        <f t="shared" si="1"/>
        <v>60673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18972.0</v>
      </c>
      <c r="D11" s="19">
        <v>12345.0</v>
      </c>
      <c r="E11" s="19">
        <v>13886.0</v>
      </c>
      <c r="F11" s="19">
        <v>5162.0</v>
      </c>
      <c r="G11" s="17">
        <f t="shared" si="1"/>
        <v>50365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9869.0</v>
      </c>
      <c r="D12" s="19">
        <v>10081.0</v>
      </c>
      <c r="E12" s="19">
        <v>12654.0</v>
      </c>
      <c r="F12" s="19">
        <v>7217.0</v>
      </c>
      <c r="G12" s="17">
        <f t="shared" si="1"/>
        <v>39821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10456.0</v>
      </c>
      <c r="D13" s="19">
        <v>10103.0</v>
      </c>
      <c r="E13" s="19">
        <v>16108.0</v>
      </c>
      <c r="F13" s="19">
        <v>8441.0</v>
      </c>
      <c r="G13" s="17">
        <f t="shared" si="1"/>
        <v>45108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16051.0</v>
      </c>
      <c r="D14" s="19">
        <v>11755.0</v>
      </c>
      <c r="E14" s="19">
        <v>11398.0</v>
      </c>
      <c r="F14" s="19">
        <v>8470.0</v>
      </c>
      <c r="G14" s="17">
        <f t="shared" si="1"/>
        <v>47674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19199.0</v>
      </c>
      <c r="D15" s="19">
        <v>9127.0</v>
      </c>
      <c r="E15" s="19">
        <v>8777.0</v>
      </c>
      <c r="F15" s="19">
        <v>7279.0</v>
      </c>
      <c r="G15" s="17">
        <f t="shared" si="1"/>
        <v>44382</v>
      </c>
      <c r="H15" s="22" t="s">
        <v>5</v>
      </c>
      <c r="I15" s="23">
        <f>SUM(G9:G15)</f>
        <v>327430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15884.0</v>
      </c>
      <c r="D16" s="52">
        <v>8678.0</v>
      </c>
      <c r="E16" s="52">
        <v>16827.0</v>
      </c>
      <c r="F16" s="52">
        <v>5546.0</v>
      </c>
      <c r="G16" s="27">
        <f t="shared" si="1"/>
        <v>46935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16731.0</v>
      </c>
      <c r="D17" s="31">
        <v>13737.0</v>
      </c>
      <c r="E17" s="31">
        <v>14973.0</v>
      </c>
      <c r="F17" s="31">
        <v>9456.0</v>
      </c>
      <c r="G17" s="27">
        <f t="shared" si="1"/>
        <v>54897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13847.0</v>
      </c>
      <c r="D18" s="31">
        <v>2271.0</v>
      </c>
      <c r="E18" s="31">
        <v>14837.0</v>
      </c>
      <c r="F18" s="31">
        <v>6761.0</v>
      </c>
      <c r="G18" s="27">
        <f t="shared" si="1"/>
        <v>37716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17554.0</v>
      </c>
      <c r="D19" s="31">
        <v>6302.0</v>
      </c>
      <c r="E19" s="31">
        <v>13893.0</v>
      </c>
      <c r="F19" s="31">
        <v>10010.0</v>
      </c>
      <c r="G19" s="27">
        <f t="shared" si="1"/>
        <v>47759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15442.0</v>
      </c>
      <c r="D20" s="31">
        <v>7773.0</v>
      </c>
      <c r="E20" s="31">
        <v>7937.0</v>
      </c>
      <c r="F20" s="31">
        <v>10972.0</v>
      </c>
      <c r="G20" s="27">
        <f t="shared" si="1"/>
        <v>42124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12141.0</v>
      </c>
      <c r="D21" s="31">
        <v>15703.0</v>
      </c>
      <c r="E21" s="31">
        <v>12525.0</v>
      </c>
      <c r="F21" s="31">
        <v>12841.0</v>
      </c>
      <c r="G21" s="27">
        <f t="shared" si="1"/>
        <v>53210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7280.0</v>
      </c>
      <c r="D22" s="31">
        <v>19263.0</v>
      </c>
      <c r="E22" s="31">
        <v>14302.0</v>
      </c>
      <c r="F22" s="31">
        <v>7398.0</v>
      </c>
      <c r="G22" s="27">
        <f t="shared" si="1"/>
        <v>48243</v>
      </c>
      <c r="H22" s="32" t="s">
        <v>5</v>
      </c>
      <c r="I22" s="27">
        <f>SUM(G16:G22)</f>
        <v>330884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12918.0</v>
      </c>
      <c r="D23" s="36">
        <v>17910.0</v>
      </c>
      <c r="E23" s="36">
        <v>9148.0</v>
      </c>
      <c r="F23" s="36">
        <v>9953.0</v>
      </c>
      <c r="G23" s="37">
        <f t="shared" si="1"/>
        <v>49929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15349.0</v>
      </c>
      <c r="D24" s="42">
        <v>20540.0</v>
      </c>
      <c r="E24" s="42">
        <v>16545.0</v>
      </c>
      <c r="F24" s="42">
        <v>8723.0</v>
      </c>
      <c r="G24" s="39">
        <f t="shared" si="1"/>
        <v>61157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22545.0</v>
      </c>
      <c r="D25" s="42">
        <v>13150.0</v>
      </c>
      <c r="E25" s="42">
        <v>16901.0</v>
      </c>
      <c r="F25" s="42">
        <v>8849.0</v>
      </c>
      <c r="G25" s="39">
        <f t="shared" si="1"/>
        <v>61445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19100.0</v>
      </c>
      <c r="D26" s="42">
        <v>9548.0</v>
      </c>
      <c r="E26" s="42">
        <v>16231.0</v>
      </c>
      <c r="F26" s="42">
        <v>1714.0</v>
      </c>
      <c r="G26" s="39">
        <f t="shared" si="1"/>
        <v>46593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20331.0</v>
      </c>
      <c r="D27" s="42">
        <v>7373.0</v>
      </c>
      <c r="E27" s="42">
        <v>14560.0</v>
      </c>
      <c r="F27" s="42">
        <v>6062.0</v>
      </c>
      <c r="G27" s="39">
        <f t="shared" si="1"/>
        <v>48326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14192.0</v>
      </c>
      <c r="D28" s="42">
        <v>7981.0</v>
      </c>
      <c r="E28" s="42">
        <v>11979.0</v>
      </c>
      <c r="F28" s="42">
        <v>6241.0</v>
      </c>
      <c r="G28" s="39">
        <f t="shared" si="1"/>
        <v>40393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16813.0</v>
      </c>
      <c r="D29" s="42">
        <v>15226.0</v>
      </c>
      <c r="E29" s="42">
        <v>12165.0</v>
      </c>
      <c r="F29" s="42">
        <v>13343.0</v>
      </c>
      <c r="G29" s="39">
        <f t="shared" si="1"/>
        <v>57547</v>
      </c>
      <c r="H29" s="43" t="s">
        <v>5</v>
      </c>
      <c r="I29" s="44">
        <f>SUM(G23:G29)</f>
        <v>365390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473757</v>
      </c>
      <c r="D30" s="45">
        <f t="shared" si="2"/>
        <v>321318</v>
      </c>
      <c r="E30" s="45">
        <f t="shared" si="2"/>
        <v>374860</v>
      </c>
      <c r="F30" s="45">
        <f t="shared" si="2"/>
        <v>222047</v>
      </c>
      <c r="G30" s="45">
        <f t="shared" si="2"/>
        <v>1391982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89</v>
      </c>
      <c r="D1" s="62" t="s">
        <v>90</v>
      </c>
      <c r="E1" s="48" t="s">
        <v>91</v>
      </c>
      <c r="F1" s="48" t="s">
        <v>92</v>
      </c>
      <c r="G1" s="3"/>
      <c r="I1" s="3"/>
    </row>
    <row r="2">
      <c r="A2" s="4" t="s">
        <v>4</v>
      </c>
      <c r="B2" s="5">
        <v>46174.0</v>
      </c>
      <c r="C2" s="6">
        <v>8597.0</v>
      </c>
      <c r="D2" s="6">
        <v>9456.0</v>
      </c>
      <c r="E2" s="6">
        <v>3757.0</v>
      </c>
      <c r="F2" s="6">
        <v>7627.0</v>
      </c>
      <c r="G2" s="7">
        <f t="shared" ref="G2:G29" si="1">SUM(C2+D2+E2+F2)</f>
        <v>29437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10491.0</v>
      </c>
      <c r="D3" s="6">
        <v>10797.0</v>
      </c>
      <c r="E3" s="6">
        <v>9165.0</v>
      </c>
      <c r="F3" s="6">
        <v>9457.0</v>
      </c>
      <c r="G3" s="7">
        <f t="shared" si="1"/>
        <v>39910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12298.0</v>
      </c>
      <c r="D4" s="6">
        <v>13196.0</v>
      </c>
      <c r="E4" s="6">
        <v>8954.0</v>
      </c>
      <c r="F4" s="49">
        <v>8682.0</v>
      </c>
      <c r="G4" s="7">
        <f t="shared" si="1"/>
        <v>43130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8386.0</v>
      </c>
      <c r="D5" s="6">
        <v>8838.0</v>
      </c>
      <c r="E5" s="6">
        <v>15573.0</v>
      </c>
      <c r="F5" s="49">
        <v>14868.0</v>
      </c>
      <c r="G5" s="7">
        <f t="shared" si="1"/>
        <v>47665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12484.0</v>
      </c>
      <c r="D6" s="6">
        <v>6371.0</v>
      </c>
      <c r="E6" s="6">
        <v>11248.0</v>
      </c>
      <c r="F6" s="49">
        <v>12002.0</v>
      </c>
      <c r="G6" s="7">
        <f t="shared" si="1"/>
        <v>42105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10946.0</v>
      </c>
      <c r="D7" s="6">
        <v>8915.0</v>
      </c>
      <c r="E7" s="6">
        <v>5453.0</v>
      </c>
      <c r="F7" s="49">
        <v>14363.0</v>
      </c>
      <c r="G7" s="7">
        <f t="shared" si="1"/>
        <v>39677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3">
        <v>10111.0</v>
      </c>
      <c r="D8" s="6">
        <v>12366.0</v>
      </c>
      <c r="E8" s="9"/>
      <c r="F8" s="49">
        <v>7238.0</v>
      </c>
      <c r="G8" s="7">
        <f t="shared" si="1"/>
        <v>29715</v>
      </c>
      <c r="H8" s="11" t="s">
        <v>5</v>
      </c>
      <c r="I8" s="12">
        <f>SUM(G2:G8)</f>
        <v>271639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64">
        <v>5541.0</v>
      </c>
      <c r="D9" s="16">
        <v>10201.0</v>
      </c>
      <c r="E9" s="50">
        <v>6857.0</v>
      </c>
      <c r="F9" s="50">
        <v>7042.0</v>
      </c>
      <c r="G9" s="17">
        <f t="shared" si="1"/>
        <v>29641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65">
        <v>9358.0</v>
      </c>
      <c r="D10" s="19">
        <v>9350.0</v>
      </c>
      <c r="E10" s="51">
        <v>7314.0</v>
      </c>
      <c r="F10" s="51">
        <v>10989.0</v>
      </c>
      <c r="G10" s="17">
        <f t="shared" si="1"/>
        <v>37011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66">
        <v>10511.0</v>
      </c>
      <c r="D11" s="51">
        <v>14586.0</v>
      </c>
      <c r="E11" s="51">
        <v>7791.0</v>
      </c>
      <c r="F11" s="51">
        <v>10720.0</v>
      </c>
      <c r="G11" s="17">
        <f t="shared" si="1"/>
        <v>43608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66">
        <v>10127.0</v>
      </c>
      <c r="D12" s="51">
        <v>10934.0</v>
      </c>
      <c r="E12" s="51">
        <v>7271.0</v>
      </c>
      <c r="F12" s="51">
        <v>7888.0</v>
      </c>
      <c r="G12" s="17">
        <f t="shared" si="1"/>
        <v>36220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8593.0</v>
      </c>
      <c r="D13" s="51">
        <v>16126.0</v>
      </c>
      <c r="E13" s="51">
        <v>6210.0</v>
      </c>
      <c r="F13" s="51">
        <v>7913.0</v>
      </c>
      <c r="G13" s="17">
        <f t="shared" si="1"/>
        <v>38842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8281.0</v>
      </c>
      <c r="D14" s="51">
        <v>9011.0</v>
      </c>
      <c r="E14" s="51">
        <v>2772.0</v>
      </c>
      <c r="F14" s="19">
        <v>12808.0</v>
      </c>
      <c r="G14" s="17">
        <f t="shared" si="1"/>
        <v>32872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10407.0</v>
      </c>
      <c r="D15" s="51">
        <v>5081.0</v>
      </c>
      <c r="E15" s="51"/>
      <c r="F15" s="51">
        <v>15143.0</v>
      </c>
      <c r="G15" s="17">
        <f t="shared" si="1"/>
        <v>30631</v>
      </c>
      <c r="H15" s="22" t="s">
        <v>5</v>
      </c>
      <c r="I15" s="23">
        <f>SUM(G9:G15)</f>
        <v>248825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7847.0</v>
      </c>
      <c r="D16" s="53">
        <v>6344.0</v>
      </c>
      <c r="E16" s="53">
        <v>8859.0</v>
      </c>
      <c r="F16" s="53">
        <v>10556.0</v>
      </c>
      <c r="G16" s="27">
        <f t="shared" si="1"/>
        <v>33606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9000.0</v>
      </c>
      <c r="D17" s="54">
        <v>8289.0</v>
      </c>
      <c r="E17" s="54">
        <v>8705.0</v>
      </c>
      <c r="F17" s="31">
        <v>10776.0</v>
      </c>
      <c r="G17" s="27">
        <f t="shared" si="1"/>
        <v>36770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7626.0</v>
      </c>
      <c r="D18" s="54">
        <v>8048.0</v>
      </c>
      <c r="E18" s="54">
        <v>7473.0</v>
      </c>
      <c r="F18" s="54">
        <v>9039.0</v>
      </c>
      <c r="G18" s="27">
        <f t="shared" si="1"/>
        <v>32186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9775.0</v>
      </c>
      <c r="D19" s="54">
        <v>6158.0</v>
      </c>
      <c r="E19" s="54">
        <v>5515.0</v>
      </c>
      <c r="F19" s="54">
        <v>17199.0</v>
      </c>
      <c r="G19" s="27">
        <f t="shared" si="1"/>
        <v>38647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8963.0</v>
      </c>
      <c r="D20" s="54">
        <v>6771.0</v>
      </c>
      <c r="E20" s="31">
        <v>8099.0</v>
      </c>
      <c r="F20" s="54">
        <v>16773.0</v>
      </c>
      <c r="G20" s="27">
        <f t="shared" si="1"/>
        <v>40606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12077.0</v>
      </c>
      <c r="D21" s="54">
        <v>4824.0</v>
      </c>
      <c r="E21" s="54">
        <v>9300.0</v>
      </c>
      <c r="F21" s="54">
        <v>25514.0</v>
      </c>
      <c r="G21" s="27">
        <f t="shared" si="1"/>
        <v>51715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10861.0</v>
      </c>
      <c r="D22" s="54">
        <v>8129.0</v>
      </c>
      <c r="E22" s="30"/>
      <c r="F22" s="54">
        <v>13516.0</v>
      </c>
      <c r="G22" s="27">
        <f t="shared" si="1"/>
        <v>32506</v>
      </c>
      <c r="H22" s="32" t="s">
        <v>5</v>
      </c>
      <c r="I22" s="27">
        <f>SUM(G16:G22)</f>
        <v>266036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6132.0</v>
      </c>
      <c r="D23" s="55">
        <v>9524.0</v>
      </c>
      <c r="E23" s="36">
        <v>4254.0</v>
      </c>
      <c r="F23" s="36">
        <v>4940.0</v>
      </c>
      <c r="G23" s="37">
        <f t="shared" si="1"/>
        <v>24850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7079.0</v>
      </c>
      <c r="D24" s="56">
        <v>11533.0</v>
      </c>
      <c r="E24" s="56">
        <v>6261.0</v>
      </c>
      <c r="F24" s="56">
        <v>10860.0</v>
      </c>
      <c r="G24" s="39">
        <f t="shared" si="1"/>
        <v>35733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9960.0</v>
      </c>
      <c r="D25" s="56">
        <v>9755.0</v>
      </c>
      <c r="E25" s="42"/>
      <c r="F25" s="56">
        <v>11176.0</v>
      </c>
      <c r="G25" s="39">
        <f t="shared" si="1"/>
        <v>30891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14131.0</v>
      </c>
      <c r="D26" s="56">
        <v>12075.0</v>
      </c>
      <c r="E26" s="56">
        <v>8631.0</v>
      </c>
      <c r="F26" s="56">
        <v>10315.0</v>
      </c>
      <c r="G26" s="39">
        <f t="shared" si="1"/>
        <v>45152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17847.0</v>
      </c>
      <c r="D27" s="56">
        <v>5969.0</v>
      </c>
      <c r="E27" s="56">
        <v>9905.0</v>
      </c>
      <c r="F27" s="56">
        <v>10916.0</v>
      </c>
      <c r="G27" s="39">
        <f t="shared" si="1"/>
        <v>44637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15743.0</v>
      </c>
      <c r="D28" s="56">
        <v>8006.0</v>
      </c>
      <c r="E28" s="56">
        <v>4818.0</v>
      </c>
      <c r="F28" s="56">
        <v>6583.0</v>
      </c>
      <c r="G28" s="39">
        <f t="shared" si="1"/>
        <v>35150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7519.0</v>
      </c>
      <c r="D29" s="56">
        <v>7621.0</v>
      </c>
      <c r="E29" s="56">
        <v>7011.0</v>
      </c>
      <c r="F29" s="56">
        <v>13807.0</v>
      </c>
      <c r="G29" s="39">
        <f t="shared" si="1"/>
        <v>35958</v>
      </c>
      <c r="H29" s="43" t="s">
        <v>5</v>
      </c>
      <c r="I29" s="44">
        <f>SUM(G23:G29)</f>
        <v>252371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280691</v>
      </c>
      <c r="D30" s="45">
        <f t="shared" si="2"/>
        <v>258274</v>
      </c>
      <c r="E30" s="45">
        <f t="shared" si="2"/>
        <v>181196</v>
      </c>
      <c r="F30" s="45">
        <f t="shared" si="2"/>
        <v>318710</v>
      </c>
      <c r="G30" s="45">
        <f t="shared" si="2"/>
        <v>1038871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48"/>
      <c r="D32" s="62"/>
      <c r="E32" s="48"/>
      <c r="F32" s="48"/>
      <c r="G32" s="3"/>
      <c r="I32" s="3"/>
    </row>
    <row r="33" ht="15.75" customHeight="1">
      <c r="C33" s="48"/>
      <c r="D33" s="67"/>
      <c r="E33" s="48"/>
      <c r="F33" s="48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 ht="15.75" customHeight="1">
      <c r="C934" s="3"/>
      <c r="D934" s="3"/>
      <c r="E934" s="3"/>
      <c r="F934" s="3"/>
      <c r="G934" s="3"/>
      <c r="I934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93</v>
      </c>
      <c r="D1" s="48" t="s">
        <v>94</v>
      </c>
      <c r="E1" s="48" t="s">
        <v>95</v>
      </c>
      <c r="F1" s="48" t="s">
        <v>96</v>
      </c>
      <c r="G1" s="3"/>
      <c r="I1" s="3"/>
    </row>
    <row r="2">
      <c r="A2" s="4" t="s">
        <v>4</v>
      </c>
      <c r="B2" s="5">
        <v>46174.0</v>
      </c>
      <c r="C2" s="6">
        <v>6528.0</v>
      </c>
      <c r="D2" s="6">
        <v>8964.0</v>
      </c>
      <c r="E2" s="6">
        <v>10092.0</v>
      </c>
      <c r="F2" s="6">
        <v>13650.0</v>
      </c>
      <c r="G2" s="7">
        <f t="shared" ref="G2:G29" si="1">SUM(C2+D2+E2+F2)</f>
        <v>39234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8896.0</v>
      </c>
      <c r="D3" s="6">
        <v>10165.0</v>
      </c>
      <c r="E3" s="6">
        <v>9880.0</v>
      </c>
      <c r="F3" s="6">
        <v>13324.0</v>
      </c>
      <c r="G3" s="7">
        <f t="shared" si="1"/>
        <v>42265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4886.0</v>
      </c>
      <c r="D4" s="6">
        <v>10558.0</v>
      </c>
      <c r="E4" s="6">
        <v>6771.0</v>
      </c>
      <c r="F4" s="49">
        <v>14567.0</v>
      </c>
      <c r="G4" s="7">
        <f t="shared" si="1"/>
        <v>36782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4767.0</v>
      </c>
      <c r="D5" s="6">
        <v>10057.0</v>
      </c>
      <c r="E5" s="6">
        <v>12827.0</v>
      </c>
      <c r="F5" s="49">
        <v>14539.0</v>
      </c>
      <c r="G5" s="7">
        <f t="shared" si="1"/>
        <v>42190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10899.0</v>
      </c>
      <c r="D6" s="6">
        <v>10145.0</v>
      </c>
      <c r="E6" s="6">
        <v>10978.0</v>
      </c>
      <c r="F6" s="49">
        <v>12187.0</v>
      </c>
      <c r="G6" s="7">
        <f t="shared" si="1"/>
        <v>44209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12555.0</v>
      </c>
      <c r="D7" s="6">
        <v>7108.0</v>
      </c>
      <c r="E7" s="6">
        <v>15611.0</v>
      </c>
      <c r="F7" s="49">
        <v>17525.0</v>
      </c>
      <c r="G7" s="7">
        <f t="shared" si="1"/>
        <v>52799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14453.0</v>
      </c>
      <c r="D8" s="6">
        <v>8620.0</v>
      </c>
      <c r="E8" s="49">
        <v>9518.0</v>
      </c>
      <c r="F8" s="49">
        <v>11091.0</v>
      </c>
      <c r="G8" s="7">
        <f t="shared" si="1"/>
        <v>43682</v>
      </c>
      <c r="H8" s="11" t="s">
        <v>5</v>
      </c>
      <c r="I8" s="12">
        <f>SUM(G2:G8)</f>
        <v>301161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9332.0</v>
      </c>
      <c r="D9" s="16">
        <v>11141.0</v>
      </c>
      <c r="E9" s="50">
        <v>10669.0</v>
      </c>
      <c r="F9" s="50">
        <v>13118.0</v>
      </c>
      <c r="G9" s="17">
        <f t="shared" si="1"/>
        <v>44260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10562.0</v>
      </c>
      <c r="D10" s="19">
        <v>9211.0</v>
      </c>
      <c r="E10" s="51">
        <v>9612.0</v>
      </c>
      <c r="F10" s="51">
        <v>11353.0</v>
      </c>
      <c r="G10" s="17">
        <f t="shared" si="1"/>
        <v>40738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11365.0</v>
      </c>
      <c r="D11" s="51">
        <v>10871.0</v>
      </c>
      <c r="E11" s="51">
        <v>8966.0</v>
      </c>
      <c r="F11" s="51">
        <v>11218.0</v>
      </c>
      <c r="G11" s="17">
        <f t="shared" si="1"/>
        <v>42420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9136.0</v>
      </c>
      <c r="D12" s="51">
        <v>12600.0</v>
      </c>
      <c r="E12" s="51">
        <v>4930.0</v>
      </c>
      <c r="F12" s="51">
        <v>14313.0</v>
      </c>
      <c r="G12" s="17">
        <f t="shared" si="1"/>
        <v>40979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10093.0</v>
      </c>
      <c r="D13" s="51">
        <v>14784.0</v>
      </c>
      <c r="E13" s="51">
        <v>8071.0</v>
      </c>
      <c r="F13" s="51">
        <v>10630.0</v>
      </c>
      <c r="G13" s="17">
        <f t="shared" si="1"/>
        <v>43578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5044.0</v>
      </c>
      <c r="D14" s="51">
        <v>5854.0</v>
      </c>
      <c r="E14" s="51">
        <v>8277.0</v>
      </c>
      <c r="F14" s="19">
        <v>12317.0</v>
      </c>
      <c r="G14" s="17">
        <f t="shared" si="1"/>
        <v>31492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4599.0</v>
      </c>
      <c r="D15" s="51">
        <v>6630.0</v>
      </c>
      <c r="E15" s="51">
        <v>5675.0</v>
      </c>
      <c r="F15" s="51">
        <v>10163.0</v>
      </c>
      <c r="G15" s="17">
        <f t="shared" si="1"/>
        <v>27067</v>
      </c>
      <c r="H15" s="22" t="s">
        <v>5</v>
      </c>
      <c r="I15" s="23">
        <f>SUM(G9:G15)</f>
        <v>270534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6941.0</v>
      </c>
      <c r="D16" s="53">
        <v>9476.0</v>
      </c>
      <c r="E16" s="53">
        <v>9082.0</v>
      </c>
      <c r="F16" s="53">
        <v>11917.0</v>
      </c>
      <c r="G16" s="27">
        <f t="shared" si="1"/>
        <v>37416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7617.0</v>
      </c>
      <c r="D17" s="54">
        <v>9327.0</v>
      </c>
      <c r="E17" s="54">
        <v>7806.0</v>
      </c>
      <c r="F17" s="31">
        <v>12787.0</v>
      </c>
      <c r="G17" s="27">
        <f t="shared" si="1"/>
        <v>37537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9076.0</v>
      </c>
      <c r="D18" s="54">
        <v>9101.0</v>
      </c>
      <c r="E18" s="54">
        <v>7371.0</v>
      </c>
      <c r="F18" s="54">
        <v>17019.0</v>
      </c>
      <c r="G18" s="27">
        <f t="shared" si="1"/>
        <v>42567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10179.0</v>
      </c>
      <c r="D19" s="54">
        <v>9699.0</v>
      </c>
      <c r="E19" s="54">
        <v>10779.0</v>
      </c>
      <c r="F19" s="54">
        <v>15019.0</v>
      </c>
      <c r="G19" s="27">
        <f t="shared" si="1"/>
        <v>45676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14987.0</v>
      </c>
      <c r="D20" s="54">
        <v>7975.0</v>
      </c>
      <c r="E20" s="31">
        <v>6051.0</v>
      </c>
      <c r="F20" s="54">
        <v>10491.0</v>
      </c>
      <c r="G20" s="27">
        <f t="shared" si="1"/>
        <v>39504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7631.0</v>
      </c>
      <c r="D21" s="54">
        <v>9860.0</v>
      </c>
      <c r="E21" s="54">
        <v>8840.0</v>
      </c>
      <c r="F21" s="54">
        <v>11773.0</v>
      </c>
      <c r="G21" s="27">
        <f t="shared" si="1"/>
        <v>38104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6959.0</v>
      </c>
      <c r="D22" s="54">
        <v>8868.0</v>
      </c>
      <c r="E22" s="54">
        <v>8617.0</v>
      </c>
      <c r="F22" s="54">
        <v>12210.0</v>
      </c>
      <c r="G22" s="27">
        <f t="shared" si="1"/>
        <v>36654</v>
      </c>
      <c r="H22" s="32" t="s">
        <v>5</v>
      </c>
      <c r="I22" s="27">
        <f>SUM(G16:G22)</f>
        <v>277458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14729.0</v>
      </c>
      <c r="D23" s="55">
        <v>11738.0</v>
      </c>
      <c r="E23" s="36">
        <v>8785.0</v>
      </c>
      <c r="F23" s="36">
        <v>11543.0</v>
      </c>
      <c r="G23" s="37">
        <f t="shared" si="1"/>
        <v>46795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7526.0</v>
      </c>
      <c r="D24" s="56">
        <v>10170.0</v>
      </c>
      <c r="E24" s="56">
        <v>7606.0</v>
      </c>
      <c r="F24" s="56">
        <v>11180.0</v>
      </c>
      <c r="G24" s="39">
        <f t="shared" si="1"/>
        <v>36482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6496.0</v>
      </c>
      <c r="D25" s="56">
        <v>7916.0</v>
      </c>
      <c r="E25" s="42">
        <v>7943.0</v>
      </c>
      <c r="F25" s="56">
        <v>12045.0</v>
      </c>
      <c r="G25" s="39">
        <f t="shared" si="1"/>
        <v>34400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10397.0</v>
      </c>
      <c r="D26" s="56">
        <v>13651.0</v>
      </c>
      <c r="E26" s="56">
        <v>10469.0</v>
      </c>
      <c r="F26" s="56">
        <v>12263.0</v>
      </c>
      <c r="G26" s="39">
        <f t="shared" si="1"/>
        <v>46780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7701.0</v>
      </c>
      <c r="D27" s="56">
        <v>9560.0</v>
      </c>
      <c r="E27" s="56">
        <v>5688.0</v>
      </c>
      <c r="F27" s="56">
        <v>11188.0</v>
      </c>
      <c r="G27" s="39">
        <f t="shared" si="1"/>
        <v>34137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5213.0</v>
      </c>
      <c r="D28" s="56">
        <v>7401.0</v>
      </c>
      <c r="E28" s="56">
        <v>12082.0</v>
      </c>
      <c r="F28" s="56">
        <v>10120.0</v>
      </c>
      <c r="G28" s="39">
        <f t="shared" si="1"/>
        <v>34816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11786.0</v>
      </c>
      <c r="D29" s="56">
        <v>9594.0</v>
      </c>
      <c r="E29" s="56">
        <v>11046.0</v>
      </c>
      <c r="F29" s="56">
        <v>12180.0</v>
      </c>
      <c r="G29" s="39">
        <f t="shared" si="1"/>
        <v>44606</v>
      </c>
      <c r="H29" s="43" t="s">
        <v>5</v>
      </c>
      <c r="I29" s="44">
        <f>SUM(G23:G29)</f>
        <v>278016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250353</v>
      </c>
      <c r="D30" s="45">
        <f t="shared" si="2"/>
        <v>271044</v>
      </c>
      <c r="E30" s="45">
        <f t="shared" si="2"/>
        <v>254042</v>
      </c>
      <c r="F30" s="45">
        <f t="shared" si="2"/>
        <v>351730</v>
      </c>
      <c r="G30" s="45">
        <f t="shared" si="2"/>
        <v>1127169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97</v>
      </c>
      <c r="D1" s="48" t="s">
        <v>98</v>
      </c>
      <c r="E1" s="48" t="s">
        <v>99</v>
      </c>
      <c r="F1" s="48" t="s">
        <v>100</v>
      </c>
      <c r="G1" s="3"/>
      <c r="I1" s="3"/>
    </row>
    <row r="2">
      <c r="A2" s="4" t="s">
        <v>4</v>
      </c>
      <c r="B2" s="5">
        <v>46174.0</v>
      </c>
      <c r="C2" s="6">
        <v>11615.0</v>
      </c>
      <c r="D2" s="6">
        <v>7162.0</v>
      </c>
      <c r="E2" s="6">
        <v>12482.0</v>
      </c>
      <c r="F2" s="6">
        <v>15074.0</v>
      </c>
      <c r="G2" s="7">
        <f t="shared" ref="G2:G29" si="1">SUM(C2+D2+E2+F2)</f>
        <v>46333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11678.0</v>
      </c>
      <c r="D3" s="6">
        <v>8461.0</v>
      </c>
      <c r="E3" s="6">
        <v>14246.0</v>
      </c>
      <c r="F3" s="6">
        <v>13782.0</v>
      </c>
      <c r="G3" s="7">
        <f t="shared" si="1"/>
        <v>48167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10826.0</v>
      </c>
      <c r="D4" s="6">
        <v>20003.0</v>
      </c>
      <c r="E4" s="6">
        <v>14118.0</v>
      </c>
      <c r="F4" s="49">
        <v>16441.0</v>
      </c>
      <c r="G4" s="7">
        <f t="shared" si="1"/>
        <v>61388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9732.0</v>
      </c>
      <c r="D5" s="6">
        <v>10116.0</v>
      </c>
      <c r="E5" s="6">
        <v>11037.0</v>
      </c>
      <c r="F5" s="49">
        <v>20760.0</v>
      </c>
      <c r="G5" s="7">
        <f t="shared" si="1"/>
        <v>51645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13960.0</v>
      </c>
      <c r="D6" s="6">
        <v>10003.0</v>
      </c>
      <c r="E6" s="6">
        <v>14319.0</v>
      </c>
      <c r="F6" s="49">
        <v>12441.0</v>
      </c>
      <c r="G6" s="7">
        <f t="shared" si="1"/>
        <v>50723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15005.0</v>
      </c>
      <c r="D7" s="6">
        <v>10001.0</v>
      </c>
      <c r="E7" s="6">
        <v>16056.0</v>
      </c>
      <c r="F7" s="49">
        <v>20392.0</v>
      </c>
      <c r="G7" s="7">
        <f t="shared" si="1"/>
        <v>61454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11147.0</v>
      </c>
      <c r="D8" s="6">
        <v>10017.0</v>
      </c>
      <c r="E8" s="49">
        <v>8279.0</v>
      </c>
      <c r="F8" s="49">
        <v>13306.0</v>
      </c>
      <c r="G8" s="7">
        <f t="shared" si="1"/>
        <v>42749</v>
      </c>
      <c r="H8" s="11" t="s">
        <v>5</v>
      </c>
      <c r="I8" s="12">
        <f>SUM(G2:G8)</f>
        <v>362459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11635.0</v>
      </c>
      <c r="D9" s="16">
        <v>10156.0</v>
      </c>
      <c r="E9" s="50">
        <v>15049.0</v>
      </c>
      <c r="F9" s="50">
        <v>13061.0</v>
      </c>
      <c r="G9" s="17">
        <f t="shared" si="1"/>
        <v>49901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9710.0</v>
      </c>
      <c r="D10" s="19">
        <v>11125.0</v>
      </c>
      <c r="E10" s="51">
        <v>15387.0</v>
      </c>
      <c r="F10" s="51">
        <v>18796.0</v>
      </c>
      <c r="G10" s="17">
        <f t="shared" si="1"/>
        <v>55018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10912.0</v>
      </c>
      <c r="D11" s="51">
        <v>9783.0</v>
      </c>
      <c r="E11" s="51">
        <v>14073.0</v>
      </c>
      <c r="F11" s="51">
        <v>13220.0</v>
      </c>
      <c r="G11" s="17">
        <f t="shared" si="1"/>
        <v>47988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6346.0</v>
      </c>
      <c r="D12" s="51">
        <v>10511.0</v>
      </c>
      <c r="E12" s="51">
        <v>10981.0</v>
      </c>
      <c r="F12" s="51">
        <v>16107.0</v>
      </c>
      <c r="G12" s="17">
        <f t="shared" si="1"/>
        <v>43945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18668.0</v>
      </c>
      <c r="D13" s="51">
        <v>11617.0</v>
      </c>
      <c r="E13" s="51">
        <v>10769.0</v>
      </c>
      <c r="F13" s="51">
        <v>13408.0</v>
      </c>
      <c r="G13" s="17">
        <f t="shared" si="1"/>
        <v>54462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15121.0</v>
      </c>
      <c r="D14" s="51">
        <v>13101.0</v>
      </c>
      <c r="E14" s="51">
        <v>12209.0</v>
      </c>
      <c r="F14" s="19">
        <v>25747.0</v>
      </c>
      <c r="G14" s="17">
        <f t="shared" si="1"/>
        <v>66178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5518.0</v>
      </c>
      <c r="D15" s="51">
        <v>7496.0</v>
      </c>
      <c r="E15" s="51">
        <v>8325.0</v>
      </c>
      <c r="F15" s="51">
        <v>23322.0</v>
      </c>
      <c r="G15" s="17">
        <f t="shared" si="1"/>
        <v>44661</v>
      </c>
      <c r="H15" s="22" t="s">
        <v>5</v>
      </c>
      <c r="I15" s="23">
        <f>SUM(G9:G15)</f>
        <v>362153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9060.0</v>
      </c>
      <c r="D16" s="53">
        <v>13192.0</v>
      </c>
      <c r="E16" s="53">
        <v>14450.0</v>
      </c>
      <c r="F16" s="53">
        <v>12141.0</v>
      </c>
      <c r="G16" s="27">
        <f t="shared" si="1"/>
        <v>48843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11027.0</v>
      </c>
      <c r="D17" s="54">
        <v>10030.0</v>
      </c>
      <c r="E17" s="54">
        <v>11609.0</v>
      </c>
      <c r="F17" s="31">
        <v>16583.0</v>
      </c>
      <c r="G17" s="27">
        <f t="shared" si="1"/>
        <v>49249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11868.0</v>
      </c>
      <c r="D18" s="54">
        <v>12004.0</v>
      </c>
      <c r="E18" s="54">
        <v>11584.0</v>
      </c>
      <c r="F18" s="54">
        <v>13989.0</v>
      </c>
      <c r="G18" s="27">
        <f t="shared" si="1"/>
        <v>49445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7886.0</v>
      </c>
      <c r="D19" s="54">
        <v>13085.0</v>
      </c>
      <c r="E19" s="54">
        <v>10360.0</v>
      </c>
      <c r="F19" s="54">
        <v>18225.0</v>
      </c>
      <c r="G19" s="27">
        <f t="shared" si="1"/>
        <v>49556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12641.0</v>
      </c>
      <c r="D20" s="54">
        <v>10047.0</v>
      </c>
      <c r="E20" s="31">
        <v>11143.0</v>
      </c>
      <c r="F20" s="54">
        <v>19276.0</v>
      </c>
      <c r="G20" s="27">
        <f t="shared" si="1"/>
        <v>53107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18097.0</v>
      </c>
      <c r="D21" s="54">
        <v>10574.0</v>
      </c>
      <c r="E21" s="54">
        <v>10208.0</v>
      </c>
      <c r="F21" s="54">
        <v>13132.0</v>
      </c>
      <c r="G21" s="27">
        <f t="shared" si="1"/>
        <v>52011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7870.0</v>
      </c>
      <c r="D22" s="54">
        <v>8420.0</v>
      </c>
      <c r="E22" s="54">
        <v>9710.0</v>
      </c>
      <c r="F22" s="54">
        <v>16561.0</v>
      </c>
      <c r="G22" s="27">
        <f t="shared" si="1"/>
        <v>42561</v>
      </c>
      <c r="H22" s="32" t="s">
        <v>5</v>
      </c>
      <c r="I22" s="27">
        <f>SUM(G16:G22)</f>
        <v>344772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11260.0</v>
      </c>
      <c r="D23" s="55">
        <v>12007.0</v>
      </c>
      <c r="E23" s="36">
        <v>12437.0</v>
      </c>
      <c r="F23" s="36">
        <v>18352.0</v>
      </c>
      <c r="G23" s="37">
        <f t="shared" si="1"/>
        <v>54056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16458.0</v>
      </c>
      <c r="D24" s="56">
        <v>10072.0</v>
      </c>
      <c r="E24" s="56">
        <v>11383.0</v>
      </c>
      <c r="F24" s="56">
        <v>13024.0</v>
      </c>
      <c r="G24" s="39">
        <f t="shared" si="1"/>
        <v>50937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14594.0</v>
      </c>
      <c r="D25" s="56">
        <v>8021.0</v>
      </c>
      <c r="E25" s="42">
        <v>13308.0</v>
      </c>
      <c r="F25" s="56">
        <v>17003.0</v>
      </c>
      <c r="G25" s="39">
        <f t="shared" si="1"/>
        <v>52926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19037.0</v>
      </c>
      <c r="D26" s="56">
        <v>8161.0</v>
      </c>
      <c r="E26" s="56">
        <v>11727.0</v>
      </c>
      <c r="F26" s="56">
        <v>15492.0</v>
      </c>
      <c r="G26" s="39">
        <f t="shared" si="1"/>
        <v>54417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17425.0</v>
      </c>
      <c r="D27" s="56">
        <v>12108.0</v>
      </c>
      <c r="E27" s="56">
        <v>11225.0</v>
      </c>
      <c r="F27" s="56">
        <v>14798.0</v>
      </c>
      <c r="G27" s="39">
        <f t="shared" si="1"/>
        <v>55556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19752.0</v>
      </c>
      <c r="D28" s="56">
        <v>10137.0</v>
      </c>
      <c r="E28" s="56">
        <v>10568.0</v>
      </c>
      <c r="F28" s="56">
        <v>18825.0</v>
      </c>
      <c r="G28" s="39">
        <f t="shared" si="1"/>
        <v>59282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10943.0</v>
      </c>
      <c r="D29" s="56">
        <v>8184.0</v>
      </c>
      <c r="E29" s="56">
        <v>11537.0</v>
      </c>
      <c r="F29" s="56">
        <v>22124.0</v>
      </c>
      <c r="G29" s="39">
        <f t="shared" si="1"/>
        <v>52788</v>
      </c>
      <c r="H29" s="43" t="s">
        <v>5</v>
      </c>
      <c r="I29" s="44">
        <f>SUM(G23:G29)</f>
        <v>379962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349791</v>
      </c>
      <c r="D30" s="45">
        <f t="shared" si="2"/>
        <v>295594</v>
      </c>
      <c r="E30" s="45">
        <f t="shared" si="2"/>
        <v>338579</v>
      </c>
      <c r="F30" s="45">
        <f t="shared" si="2"/>
        <v>465382</v>
      </c>
      <c r="G30" s="45">
        <f t="shared" si="2"/>
        <v>1449346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101</v>
      </c>
      <c r="D1" s="48" t="s">
        <v>102</v>
      </c>
      <c r="E1" s="48" t="s">
        <v>103</v>
      </c>
      <c r="F1" s="48" t="s">
        <v>104</v>
      </c>
      <c r="G1" s="3"/>
      <c r="I1" s="3"/>
    </row>
    <row r="2">
      <c r="A2" s="4" t="s">
        <v>4</v>
      </c>
      <c r="B2" s="5">
        <v>46174.0</v>
      </c>
      <c r="C2" s="6">
        <v>10150.0</v>
      </c>
      <c r="D2" s="6">
        <v>16364.0</v>
      </c>
      <c r="E2" s="6">
        <v>10184.0</v>
      </c>
      <c r="F2" s="6">
        <v>17465.0</v>
      </c>
      <c r="G2" s="7">
        <f t="shared" ref="G2:G24" si="1">SUM(C2+D2+E2+F2)</f>
        <v>54163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6424.0</v>
      </c>
      <c r="D3" s="6">
        <v>16274.0</v>
      </c>
      <c r="E3" s="6">
        <v>10233.0</v>
      </c>
      <c r="F3" s="6">
        <v>14044.0</v>
      </c>
      <c r="G3" s="7">
        <f t="shared" si="1"/>
        <v>46975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10217.0</v>
      </c>
      <c r="D4" s="6">
        <v>13423.0</v>
      </c>
      <c r="E4" s="6">
        <v>9278.0</v>
      </c>
      <c r="F4" s="49">
        <v>11454.0</v>
      </c>
      <c r="G4" s="7">
        <f t="shared" si="1"/>
        <v>44372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10020.0</v>
      </c>
      <c r="D5" s="6">
        <v>17728.0</v>
      </c>
      <c r="E5" s="6">
        <v>9000.0</v>
      </c>
      <c r="F5" s="49">
        <v>12126.0</v>
      </c>
      <c r="G5" s="7">
        <f t="shared" si="1"/>
        <v>48874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7653.0</v>
      </c>
      <c r="D6" s="6">
        <v>7707.0</v>
      </c>
      <c r="E6" s="6">
        <v>9583.0</v>
      </c>
      <c r="F6" s="49">
        <v>17117.0</v>
      </c>
      <c r="G6" s="7">
        <f t="shared" si="1"/>
        <v>42060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4757.0</v>
      </c>
      <c r="D7" s="6">
        <v>11921.0</v>
      </c>
      <c r="E7" s="6">
        <v>12092.0</v>
      </c>
      <c r="F7" s="49">
        <v>16242.0</v>
      </c>
      <c r="G7" s="7">
        <f t="shared" si="1"/>
        <v>45012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4325.0</v>
      </c>
      <c r="D8" s="6">
        <v>11748.0</v>
      </c>
      <c r="E8" s="6">
        <v>9591.0</v>
      </c>
      <c r="F8" s="6">
        <v>19430.0</v>
      </c>
      <c r="G8" s="7">
        <f t="shared" si="1"/>
        <v>45094</v>
      </c>
      <c r="H8" s="11" t="s">
        <v>5</v>
      </c>
      <c r="I8" s="12">
        <f>SUM(G2:G8)</f>
        <v>326550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6784.0</v>
      </c>
      <c r="D9" s="16">
        <v>12132.0</v>
      </c>
      <c r="E9" s="16">
        <v>5887.0</v>
      </c>
      <c r="F9" s="16">
        <v>7106.0</v>
      </c>
      <c r="G9" s="17">
        <f t="shared" si="1"/>
        <v>31909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12506.0</v>
      </c>
      <c r="D10" s="19">
        <v>13567.0</v>
      </c>
      <c r="E10" s="19">
        <v>6290.0</v>
      </c>
      <c r="F10" s="19">
        <v>11888.0</v>
      </c>
      <c r="G10" s="17">
        <f t="shared" si="1"/>
        <v>44251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10931.0</v>
      </c>
      <c r="D11" s="51">
        <v>13826.0</v>
      </c>
      <c r="E11" s="51">
        <v>8840.0</v>
      </c>
      <c r="F11" s="51">
        <v>10585.0</v>
      </c>
      <c r="G11" s="17">
        <f t="shared" si="1"/>
        <v>44182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7040.0</v>
      </c>
      <c r="D12" s="51">
        <v>9319.0</v>
      </c>
      <c r="E12" s="51">
        <v>6187.0</v>
      </c>
      <c r="F12" s="51">
        <v>5696.0</v>
      </c>
      <c r="G12" s="17">
        <f t="shared" si="1"/>
        <v>28242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10647.0</v>
      </c>
      <c r="D13" s="51">
        <v>14286.0</v>
      </c>
      <c r="E13" s="51">
        <v>9540.0</v>
      </c>
      <c r="F13" s="51">
        <v>11117.0</v>
      </c>
      <c r="G13" s="17">
        <f t="shared" si="1"/>
        <v>45590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51">
        <v>12380.0</v>
      </c>
      <c r="E14" s="51">
        <v>9051.0</v>
      </c>
      <c r="F14" s="19">
        <v>10636.0</v>
      </c>
      <c r="G14" s="17">
        <f t="shared" si="1"/>
        <v>32067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9520.0</v>
      </c>
      <c r="D15" s="51">
        <v>11239.0</v>
      </c>
      <c r="E15" s="51">
        <v>6685.0</v>
      </c>
      <c r="F15" s="51">
        <v>10075.0</v>
      </c>
      <c r="G15" s="17">
        <f t="shared" si="1"/>
        <v>37519</v>
      </c>
      <c r="H15" s="22" t="s">
        <v>5</v>
      </c>
      <c r="I15" s="23">
        <f>SUM(G9:G15)</f>
        <v>263760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9886.0</v>
      </c>
      <c r="D16" s="53">
        <v>14852.0</v>
      </c>
      <c r="E16" s="53">
        <v>10093.0</v>
      </c>
      <c r="F16" s="53">
        <v>11672.0</v>
      </c>
      <c r="G16" s="27">
        <f t="shared" si="1"/>
        <v>46503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6187.0</v>
      </c>
      <c r="D17" s="31">
        <v>15476.0</v>
      </c>
      <c r="E17" s="31">
        <v>8889.0</v>
      </c>
      <c r="F17" s="31">
        <v>6370.0</v>
      </c>
      <c r="G17" s="27">
        <f t="shared" si="1"/>
        <v>36922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8378.0</v>
      </c>
      <c r="D18" s="54">
        <v>16862.0</v>
      </c>
      <c r="E18" s="31">
        <v>12362.0</v>
      </c>
      <c r="F18" s="54">
        <v>12986.0</v>
      </c>
      <c r="G18" s="27">
        <f t="shared" si="1"/>
        <v>50588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5277.0</v>
      </c>
      <c r="D19" s="54">
        <v>18149.0</v>
      </c>
      <c r="E19" s="54">
        <v>6596.0</v>
      </c>
      <c r="F19" s="54">
        <v>9204.0</v>
      </c>
      <c r="G19" s="27">
        <f t="shared" si="1"/>
        <v>39226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6835.0</v>
      </c>
      <c r="D20" s="54">
        <v>7940.0</v>
      </c>
      <c r="E20" s="31">
        <v>5799.0</v>
      </c>
      <c r="F20" s="54">
        <v>10484.0</v>
      </c>
      <c r="G20" s="27">
        <f t="shared" si="1"/>
        <v>31058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7788.0</v>
      </c>
      <c r="D21" s="54">
        <v>8105.0</v>
      </c>
      <c r="E21" s="54">
        <v>10204.0</v>
      </c>
      <c r="F21" s="54">
        <v>8054.0</v>
      </c>
      <c r="G21" s="27">
        <f t="shared" si="1"/>
        <v>34151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5335.0</v>
      </c>
      <c r="D22" s="54">
        <v>6779.0</v>
      </c>
      <c r="E22" s="54">
        <v>6612.0</v>
      </c>
      <c r="F22" s="54">
        <v>7031.0</v>
      </c>
      <c r="G22" s="27">
        <f t="shared" si="1"/>
        <v>25757</v>
      </c>
      <c r="H22" s="32" t="s">
        <v>5</v>
      </c>
      <c r="I22" s="27">
        <f>SUM(G16:G22)</f>
        <v>264205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9371.0</v>
      </c>
      <c r="D23" s="55">
        <v>11636.0</v>
      </c>
      <c r="E23" s="36">
        <v>5698.0</v>
      </c>
      <c r="F23" s="36">
        <v>5739.0</v>
      </c>
      <c r="G23" s="37">
        <f t="shared" si="1"/>
        <v>32444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8320.0</v>
      </c>
      <c r="D24" s="56">
        <v>16226.0</v>
      </c>
      <c r="E24" s="56">
        <v>8400.0</v>
      </c>
      <c r="F24" s="56">
        <v>8071.0</v>
      </c>
      <c r="G24" s="39">
        <f t="shared" si="1"/>
        <v>41017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/>
      <c r="C25" s="40"/>
      <c r="D25" s="56"/>
      <c r="E25" s="56"/>
      <c r="F25" s="56"/>
      <c r="G25" s="39"/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46197.0</v>
      </c>
      <c r="C26" s="56">
        <v>4188.0</v>
      </c>
      <c r="D26" s="56">
        <v>13151.0</v>
      </c>
      <c r="E26" s="42">
        <v>8215.0</v>
      </c>
      <c r="F26" s="56">
        <v>10108.0</v>
      </c>
      <c r="G26" s="39">
        <f t="shared" ref="G26:G30" si="2">SUM(C26+D26+E26+F26)</f>
        <v>35662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46198.0</v>
      </c>
      <c r="C27" s="56">
        <v>15768.0</v>
      </c>
      <c r="D27" s="56">
        <v>14409.0</v>
      </c>
      <c r="E27" s="56">
        <v>7534.0</v>
      </c>
      <c r="F27" s="56">
        <v>6408.0</v>
      </c>
      <c r="G27" s="39">
        <f t="shared" si="2"/>
        <v>44119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46199.0</v>
      </c>
      <c r="C28" s="56">
        <v>3461.0</v>
      </c>
      <c r="D28" s="56">
        <v>5483.0</v>
      </c>
      <c r="E28" s="56">
        <v>8887.0</v>
      </c>
      <c r="F28" s="56">
        <v>8593.0</v>
      </c>
      <c r="G28" s="39">
        <f t="shared" si="2"/>
        <v>26424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46200.0</v>
      </c>
      <c r="C29" s="56">
        <v>6279.0</v>
      </c>
      <c r="D29" s="56">
        <v>8416.0</v>
      </c>
      <c r="E29" s="56">
        <v>11479.0</v>
      </c>
      <c r="F29" s="56">
        <v>9128.0</v>
      </c>
      <c r="G29" s="39">
        <f t="shared" si="2"/>
        <v>35302</v>
      </c>
      <c r="H29" s="41"/>
      <c r="I29" s="40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10"/>
      <c r="B30" s="34">
        <v>46201.0</v>
      </c>
      <c r="C30" s="56">
        <v>10585.0</v>
      </c>
      <c r="D30" s="40"/>
      <c r="E30" s="40"/>
      <c r="F30" s="40"/>
      <c r="G30" s="39">
        <f t="shared" si="2"/>
        <v>10585</v>
      </c>
      <c r="H30" s="43" t="s">
        <v>5</v>
      </c>
      <c r="I30" s="44">
        <f>SUM(G23:G30)</f>
        <v>225553</v>
      </c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ht="15.75" customHeight="1">
      <c r="A31" s="45"/>
      <c r="B31" s="45"/>
      <c r="C31" s="45">
        <f t="shared" ref="C31:G31" si="3">SUM(C2:C30)</f>
        <v>218632</v>
      </c>
      <c r="D31" s="45">
        <f t="shared" si="3"/>
        <v>339398</v>
      </c>
      <c r="E31" s="45">
        <f t="shared" si="3"/>
        <v>233209</v>
      </c>
      <c r="F31" s="45">
        <f t="shared" si="3"/>
        <v>288829</v>
      </c>
      <c r="G31" s="45">
        <f t="shared" si="3"/>
        <v>1080068</v>
      </c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ht="15.75" customHeight="1">
      <c r="C32" s="46" t="s">
        <v>9</v>
      </c>
      <c r="D32" s="46" t="s">
        <v>10</v>
      </c>
      <c r="E32" s="46" t="s">
        <v>11</v>
      </c>
      <c r="F32" s="46" t="s">
        <v>12</v>
      </c>
      <c r="G32" s="46" t="s">
        <v>13</v>
      </c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 ht="15.75" customHeight="1">
      <c r="C934" s="3"/>
      <c r="D934" s="3"/>
      <c r="E934" s="3"/>
      <c r="F934" s="3"/>
      <c r="G934" s="3"/>
      <c r="I934" s="3"/>
    </row>
  </sheetData>
  <mergeCells count="4">
    <mergeCell ref="A2:A8"/>
    <mergeCell ref="A9:A15"/>
    <mergeCell ref="A16:A22"/>
    <mergeCell ref="A23:A30"/>
  </mergeCells>
  <printOptions/>
  <pageMargins bottom="0.75" footer="0.0" header="0.0" left="0.7" right="0.7" top="0.75"/>
  <pageSetup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105</v>
      </c>
      <c r="D1" s="48" t="s">
        <v>106</v>
      </c>
      <c r="E1" s="48" t="s">
        <v>107</v>
      </c>
      <c r="F1" s="48" t="s">
        <v>108</v>
      </c>
      <c r="G1" s="3"/>
      <c r="I1" s="3"/>
    </row>
    <row r="2">
      <c r="A2" s="4" t="s">
        <v>4</v>
      </c>
      <c r="B2" s="5">
        <v>46174.0</v>
      </c>
      <c r="C2" s="6">
        <v>7088.0</v>
      </c>
      <c r="D2" s="6">
        <v>11545.0</v>
      </c>
      <c r="E2" s="6">
        <v>10295.0</v>
      </c>
      <c r="F2" s="6">
        <v>18912.0</v>
      </c>
      <c r="G2" s="7">
        <f t="shared" ref="G2:G29" si="1">SUM(C2+D2+E2+F2)</f>
        <v>47840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5200.0</v>
      </c>
      <c r="D3" s="6">
        <v>15514.0</v>
      </c>
      <c r="E3" s="6">
        <v>11131.0</v>
      </c>
      <c r="F3" s="6">
        <v>17096.0</v>
      </c>
      <c r="G3" s="7">
        <f t="shared" si="1"/>
        <v>48941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4048.0</v>
      </c>
      <c r="D4" s="6">
        <v>12533.0</v>
      </c>
      <c r="E4" s="6">
        <v>12218.0</v>
      </c>
      <c r="F4" s="49">
        <v>12089.0</v>
      </c>
      <c r="G4" s="7">
        <f t="shared" si="1"/>
        <v>40888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4810.0</v>
      </c>
      <c r="D5" s="6">
        <v>9909.0</v>
      </c>
      <c r="E5" s="6">
        <v>12203.0</v>
      </c>
      <c r="F5" s="49">
        <v>20045.0</v>
      </c>
      <c r="G5" s="7">
        <f t="shared" si="1"/>
        <v>46967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6920.0</v>
      </c>
      <c r="D6" s="6">
        <v>9473.0</v>
      </c>
      <c r="E6" s="6">
        <v>12622.0</v>
      </c>
      <c r="F6" s="49">
        <v>12703.0</v>
      </c>
      <c r="G6" s="7">
        <f t="shared" si="1"/>
        <v>41718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2663.0</v>
      </c>
      <c r="D7" s="6">
        <v>10305.0</v>
      </c>
      <c r="E7" s="6">
        <v>10805.0</v>
      </c>
      <c r="F7" s="49">
        <v>16831.0</v>
      </c>
      <c r="G7" s="7">
        <f t="shared" si="1"/>
        <v>40604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2343.0</v>
      </c>
      <c r="D8" s="6">
        <v>10944.0</v>
      </c>
      <c r="E8" s="49">
        <v>5434.0</v>
      </c>
      <c r="F8" s="49">
        <v>10637.0</v>
      </c>
      <c r="G8" s="7">
        <f t="shared" si="1"/>
        <v>29358</v>
      </c>
      <c r="H8" s="11" t="s">
        <v>5</v>
      </c>
      <c r="I8" s="12">
        <f>SUM(G2:G8)</f>
        <v>296316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5267.0</v>
      </c>
      <c r="D9" s="16">
        <v>11283.0</v>
      </c>
      <c r="E9" s="50">
        <v>12557.0</v>
      </c>
      <c r="F9" s="50">
        <v>13605.0</v>
      </c>
      <c r="G9" s="17">
        <f t="shared" si="1"/>
        <v>42712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4523.0</v>
      </c>
      <c r="D10" s="19">
        <v>10285.0</v>
      </c>
      <c r="E10" s="51">
        <v>10310.0</v>
      </c>
      <c r="F10" s="51">
        <v>10883.0</v>
      </c>
      <c r="G10" s="17">
        <f t="shared" si="1"/>
        <v>36001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11658.0</v>
      </c>
      <c r="D11" s="51">
        <v>8117.0</v>
      </c>
      <c r="E11" s="51">
        <v>10037.0</v>
      </c>
      <c r="F11" s="51">
        <v>15433.0</v>
      </c>
      <c r="G11" s="17">
        <f t="shared" si="1"/>
        <v>45245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13213.0</v>
      </c>
      <c r="D12" s="51">
        <v>5076.0</v>
      </c>
      <c r="E12" s="51">
        <v>8206.0</v>
      </c>
      <c r="F12" s="51">
        <v>20269.0</v>
      </c>
      <c r="G12" s="17">
        <f t="shared" si="1"/>
        <v>46764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5484.0</v>
      </c>
      <c r="D13" s="51">
        <v>9813.0</v>
      </c>
      <c r="E13" s="51">
        <v>6575.0</v>
      </c>
      <c r="F13" s="51">
        <v>11989.0</v>
      </c>
      <c r="G13" s="17">
        <f t="shared" si="1"/>
        <v>33861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11410.0</v>
      </c>
      <c r="D14" s="51">
        <v>9882.0</v>
      </c>
      <c r="E14" s="51">
        <v>11384.0</v>
      </c>
      <c r="F14" s="19">
        <v>12522.0</v>
      </c>
      <c r="G14" s="17">
        <f t="shared" si="1"/>
        <v>45198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3901.0</v>
      </c>
      <c r="D15" s="51">
        <v>5820.0</v>
      </c>
      <c r="E15" s="51">
        <v>3094.0</v>
      </c>
      <c r="F15" s="51">
        <v>4056.0</v>
      </c>
      <c r="G15" s="17">
        <f t="shared" si="1"/>
        <v>16871</v>
      </c>
      <c r="H15" s="22" t="s">
        <v>5</v>
      </c>
      <c r="I15" s="23">
        <f>SUM(G9:G15)</f>
        <v>266652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9825.0</v>
      </c>
      <c r="D16" s="53">
        <v>9515.0</v>
      </c>
      <c r="E16" s="53">
        <v>12817.0</v>
      </c>
      <c r="F16" s="53">
        <v>21898.0</v>
      </c>
      <c r="G16" s="27">
        <f t="shared" si="1"/>
        <v>54055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7967.0</v>
      </c>
      <c r="D17" s="54">
        <v>9026.0</v>
      </c>
      <c r="E17" s="54">
        <v>7020.0</v>
      </c>
      <c r="F17" s="31">
        <v>14131.0</v>
      </c>
      <c r="G17" s="27">
        <f t="shared" si="1"/>
        <v>38144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4021.0</v>
      </c>
      <c r="D18" s="54">
        <v>9482.0</v>
      </c>
      <c r="E18" s="54">
        <v>10187.0</v>
      </c>
      <c r="F18" s="54">
        <v>13563.0</v>
      </c>
      <c r="G18" s="27">
        <f t="shared" si="1"/>
        <v>37253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4018.0</v>
      </c>
      <c r="D19" s="54">
        <v>7183.0</v>
      </c>
      <c r="E19" s="54">
        <v>12768.0</v>
      </c>
      <c r="F19" s="54">
        <v>17091.0</v>
      </c>
      <c r="G19" s="27">
        <f t="shared" si="1"/>
        <v>41060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5436.0</v>
      </c>
      <c r="D20" s="54">
        <v>7407.0</v>
      </c>
      <c r="E20" s="31">
        <v>7654.0</v>
      </c>
      <c r="F20" s="54">
        <v>12878.0</v>
      </c>
      <c r="G20" s="27">
        <f t="shared" si="1"/>
        <v>33375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6387.0</v>
      </c>
      <c r="D21" s="54">
        <v>8955.0</v>
      </c>
      <c r="E21" s="54">
        <v>7550.0</v>
      </c>
      <c r="F21" s="54">
        <v>15688.0</v>
      </c>
      <c r="G21" s="27">
        <f t="shared" si="1"/>
        <v>38580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4489.0</v>
      </c>
      <c r="D22" s="54">
        <v>8799.0</v>
      </c>
      <c r="E22" s="54">
        <v>2310.0</v>
      </c>
      <c r="F22" s="54">
        <v>6846.0</v>
      </c>
      <c r="G22" s="27">
        <f t="shared" si="1"/>
        <v>22444</v>
      </c>
      <c r="H22" s="32" t="s">
        <v>5</v>
      </c>
      <c r="I22" s="27">
        <f>SUM(G16:G22)</f>
        <v>264911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2591.0</v>
      </c>
      <c r="D23" s="55">
        <v>7356.0</v>
      </c>
      <c r="E23" s="36">
        <v>7760.0</v>
      </c>
      <c r="F23" s="36">
        <v>15697.0</v>
      </c>
      <c r="G23" s="37">
        <f t="shared" si="1"/>
        <v>33404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5402.0</v>
      </c>
      <c r="D24" s="56">
        <v>4771.0</v>
      </c>
      <c r="E24" s="56">
        <v>9657.0</v>
      </c>
      <c r="F24" s="56">
        <v>13030.0</v>
      </c>
      <c r="G24" s="39">
        <f t="shared" si="1"/>
        <v>32860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5599.0</v>
      </c>
      <c r="D25" s="56">
        <v>7638.0</v>
      </c>
      <c r="E25" s="42">
        <v>7399.0</v>
      </c>
      <c r="F25" s="56">
        <v>14953.0</v>
      </c>
      <c r="G25" s="39">
        <f t="shared" si="1"/>
        <v>35589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3169.0</v>
      </c>
      <c r="D26" s="56">
        <v>7027.0</v>
      </c>
      <c r="E26" s="56">
        <v>9399.0</v>
      </c>
      <c r="F26" s="56">
        <v>17984.0</v>
      </c>
      <c r="G26" s="39">
        <f t="shared" si="1"/>
        <v>37579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3298.0</v>
      </c>
      <c r="D27" s="56">
        <v>7950.0</v>
      </c>
      <c r="E27" s="56">
        <v>8161.0</v>
      </c>
      <c r="F27" s="56">
        <v>11526.0</v>
      </c>
      <c r="G27" s="39">
        <f t="shared" si="1"/>
        <v>30935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170367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150730</v>
      </c>
      <c r="D30" s="45">
        <f t="shared" si="2"/>
        <v>235608</v>
      </c>
      <c r="E30" s="45">
        <f t="shared" si="2"/>
        <v>239553</v>
      </c>
      <c r="F30" s="45">
        <f t="shared" si="2"/>
        <v>372355</v>
      </c>
      <c r="G30" s="45">
        <f t="shared" si="2"/>
        <v>998246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109</v>
      </c>
      <c r="D1" s="48" t="s">
        <v>110</v>
      </c>
      <c r="E1" s="48" t="s">
        <v>111</v>
      </c>
      <c r="F1" s="48" t="s">
        <v>112</v>
      </c>
      <c r="G1" s="3"/>
      <c r="I1" s="3"/>
    </row>
    <row r="2">
      <c r="A2" s="4" t="s">
        <v>4</v>
      </c>
      <c r="B2" s="5">
        <v>46174.0</v>
      </c>
      <c r="C2" s="6">
        <v>11681.0</v>
      </c>
      <c r="D2" s="6">
        <v>7312.0</v>
      </c>
      <c r="E2" s="6">
        <v>13158.0</v>
      </c>
      <c r="F2" s="6">
        <v>16117.0</v>
      </c>
      <c r="G2" s="7">
        <f t="shared" ref="G2:G29" si="1">SUM(C2+D2+E2+F2)</f>
        <v>48268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12168.0</v>
      </c>
      <c r="D3" s="6">
        <v>10476.0</v>
      </c>
      <c r="E3" s="6">
        <v>12060.0</v>
      </c>
      <c r="F3" s="6">
        <v>15708.0</v>
      </c>
      <c r="G3" s="7">
        <f t="shared" si="1"/>
        <v>50412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7019.0</v>
      </c>
      <c r="D4" s="6">
        <v>8401.0</v>
      </c>
      <c r="E4" s="6">
        <v>19111.0</v>
      </c>
      <c r="F4" s="49">
        <v>14491.0</v>
      </c>
      <c r="G4" s="7">
        <f t="shared" si="1"/>
        <v>49022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9579.0</v>
      </c>
      <c r="D5" s="6">
        <v>13518.0</v>
      </c>
      <c r="E5" s="6">
        <v>13236.0</v>
      </c>
      <c r="F5" s="49">
        <v>10762.0</v>
      </c>
      <c r="G5" s="7">
        <f t="shared" si="1"/>
        <v>47095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9265.0</v>
      </c>
      <c r="D6" s="6">
        <v>9481.0</v>
      </c>
      <c r="E6" s="6">
        <v>9210.0</v>
      </c>
      <c r="F6" s="49">
        <v>13719.0</v>
      </c>
      <c r="G6" s="7">
        <f t="shared" si="1"/>
        <v>41675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11698.0</v>
      </c>
      <c r="D7" s="6">
        <v>5829.0</v>
      </c>
      <c r="E7" s="6">
        <v>13211.0</v>
      </c>
      <c r="F7" s="49">
        <v>13321.0</v>
      </c>
      <c r="G7" s="7">
        <f t="shared" si="1"/>
        <v>44059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5381.0</v>
      </c>
      <c r="D8" s="6">
        <v>4383.0</v>
      </c>
      <c r="E8" s="49">
        <v>12953.0</v>
      </c>
      <c r="F8" s="49">
        <v>17303.0</v>
      </c>
      <c r="G8" s="7">
        <f t="shared" si="1"/>
        <v>40020</v>
      </c>
      <c r="H8" s="11" t="s">
        <v>5</v>
      </c>
      <c r="I8" s="12">
        <f>SUM(G2:G8)</f>
        <v>320551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5590.0</v>
      </c>
      <c r="D9" s="16">
        <v>8547.0</v>
      </c>
      <c r="E9" s="50">
        <v>12130.0</v>
      </c>
      <c r="F9" s="50">
        <v>11213.0</v>
      </c>
      <c r="G9" s="17">
        <f t="shared" si="1"/>
        <v>37480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8883.0</v>
      </c>
      <c r="D10" s="19">
        <v>8728.0</v>
      </c>
      <c r="E10" s="51">
        <v>9260.0</v>
      </c>
      <c r="F10" s="51">
        <v>11320.0</v>
      </c>
      <c r="G10" s="17">
        <f t="shared" si="1"/>
        <v>38191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10931.0</v>
      </c>
      <c r="D11" s="51">
        <v>4090.0</v>
      </c>
      <c r="E11" s="51">
        <v>7300.0</v>
      </c>
      <c r="F11" s="51">
        <v>13511.0</v>
      </c>
      <c r="G11" s="17">
        <f t="shared" si="1"/>
        <v>35832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13704.0</v>
      </c>
      <c r="D12" s="51">
        <v>10303.0</v>
      </c>
      <c r="E12" s="51">
        <v>10476.0</v>
      </c>
      <c r="F12" s="51">
        <v>11695.0</v>
      </c>
      <c r="G12" s="17">
        <f t="shared" si="1"/>
        <v>46178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5955.0</v>
      </c>
      <c r="D13" s="51">
        <v>8380.0</v>
      </c>
      <c r="E13" s="51">
        <v>9757.0</v>
      </c>
      <c r="F13" s="51">
        <v>13311.0</v>
      </c>
      <c r="G13" s="17">
        <f t="shared" si="1"/>
        <v>37403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5345.0</v>
      </c>
      <c r="D14" s="51">
        <v>7661.0</v>
      </c>
      <c r="E14" s="51">
        <v>8386.0</v>
      </c>
      <c r="F14" s="19">
        <v>14385.0</v>
      </c>
      <c r="G14" s="17">
        <f t="shared" si="1"/>
        <v>35777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7540.0</v>
      </c>
      <c r="D15" s="51">
        <v>7316.0</v>
      </c>
      <c r="E15" s="51">
        <v>13539.0</v>
      </c>
      <c r="F15" s="51">
        <v>10959.0</v>
      </c>
      <c r="G15" s="17">
        <f t="shared" si="1"/>
        <v>39354</v>
      </c>
      <c r="H15" s="22" t="s">
        <v>5</v>
      </c>
      <c r="I15" s="23">
        <f>SUM(G9:G15)</f>
        <v>270215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3">
        <v>11717.0</v>
      </c>
      <c r="D16" s="68">
        <v>5585.0</v>
      </c>
      <c r="E16" s="68">
        <v>8227.0</v>
      </c>
      <c r="F16" s="53">
        <v>10404.0</v>
      </c>
      <c r="G16" s="27">
        <f t="shared" si="1"/>
        <v>35933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54">
        <v>12235.0</v>
      </c>
      <c r="D17" s="54">
        <v>5608.0</v>
      </c>
      <c r="E17" s="54">
        <v>10819.0</v>
      </c>
      <c r="F17" s="31">
        <v>9049.0</v>
      </c>
      <c r="G17" s="27">
        <f t="shared" si="1"/>
        <v>37711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54">
        <v>6208.0</v>
      </c>
      <c r="D18" s="54">
        <v>10137.0</v>
      </c>
      <c r="E18" s="54">
        <v>13475.0</v>
      </c>
      <c r="F18" s="54">
        <v>10645.0</v>
      </c>
      <c r="G18" s="27">
        <f t="shared" si="1"/>
        <v>40465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54">
        <v>8743.0</v>
      </c>
      <c r="D19" s="54">
        <v>7603.0</v>
      </c>
      <c r="E19" s="54">
        <v>10980.0</v>
      </c>
      <c r="F19" s="54">
        <v>12174.0</v>
      </c>
      <c r="G19" s="27">
        <f t="shared" si="1"/>
        <v>39500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54">
        <v>7603.0</v>
      </c>
      <c r="D20" s="54">
        <v>6320.0</v>
      </c>
      <c r="E20" s="31">
        <v>10390.0</v>
      </c>
      <c r="F20" s="54">
        <v>11564.0</v>
      </c>
      <c r="G20" s="27">
        <f t="shared" si="1"/>
        <v>35877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54">
        <v>8249.0</v>
      </c>
      <c r="D21" s="54">
        <v>1750.0</v>
      </c>
      <c r="E21" s="54">
        <v>9573.0</v>
      </c>
      <c r="F21" s="54">
        <v>14297.0</v>
      </c>
      <c r="G21" s="27">
        <f t="shared" si="1"/>
        <v>33869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54">
        <v>9030.0</v>
      </c>
      <c r="D22" s="54">
        <v>2654.0</v>
      </c>
      <c r="E22" s="54">
        <v>13960.0</v>
      </c>
      <c r="F22" s="54">
        <v>12347.0</v>
      </c>
      <c r="G22" s="27">
        <f t="shared" si="1"/>
        <v>37991</v>
      </c>
      <c r="H22" s="32" t="s">
        <v>5</v>
      </c>
      <c r="I22" s="27">
        <f>SUM(G16:G22)</f>
        <v>261346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55">
        <v>10298.0</v>
      </c>
      <c r="D23" s="55">
        <v>6247.0</v>
      </c>
      <c r="E23" s="36">
        <v>5394.0</v>
      </c>
      <c r="F23" s="36">
        <v>11686.0</v>
      </c>
      <c r="G23" s="37">
        <f t="shared" si="1"/>
        <v>33625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56">
        <v>6738.0</v>
      </c>
      <c r="D24" s="56">
        <v>12973.0</v>
      </c>
      <c r="E24" s="56">
        <v>14360.0</v>
      </c>
      <c r="F24" s="56">
        <v>11352.0</v>
      </c>
      <c r="G24" s="39">
        <f t="shared" si="1"/>
        <v>45423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56">
        <v>8453.0</v>
      </c>
      <c r="D25" s="56">
        <v>5432.0</v>
      </c>
      <c r="E25" s="42">
        <v>10379.0</v>
      </c>
      <c r="F25" s="56">
        <v>15016.0</v>
      </c>
      <c r="G25" s="39">
        <f t="shared" si="1"/>
        <v>39280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56">
        <v>9864.0</v>
      </c>
      <c r="D26" s="56">
        <v>7920.0</v>
      </c>
      <c r="E26" s="56">
        <v>11564.0</v>
      </c>
      <c r="F26" s="56">
        <v>19242.0</v>
      </c>
      <c r="G26" s="39">
        <f t="shared" si="1"/>
        <v>48590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56">
        <v>8941.0</v>
      </c>
      <c r="D27" s="56">
        <v>9674.0</v>
      </c>
      <c r="E27" s="56">
        <v>11216.0</v>
      </c>
      <c r="F27" s="56">
        <v>10268.0</v>
      </c>
      <c r="G27" s="39">
        <f t="shared" si="1"/>
        <v>40099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56">
        <v>7894.0</v>
      </c>
      <c r="D28" s="56">
        <v>4912.0</v>
      </c>
      <c r="E28" s="56">
        <v>5980.0</v>
      </c>
      <c r="F28" s="56">
        <v>3236.0</v>
      </c>
      <c r="G28" s="39">
        <f t="shared" si="1"/>
        <v>22022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56">
        <v>7802.0</v>
      </c>
      <c r="D29" s="56">
        <v>11203.0</v>
      </c>
      <c r="E29" s="56">
        <v>15692.0</v>
      </c>
      <c r="F29" s="56">
        <v>8554.0</v>
      </c>
      <c r="G29" s="39">
        <f t="shared" si="1"/>
        <v>43251</v>
      </c>
      <c r="H29" s="43" t="s">
        <v>5</v>
      </c>
      <c r="I29" s="44">
        <f>SUM(G23:G29)</f>
        <v>272290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248514</v>
      </c>
      <c r="D30" s="45">
        <f t="shared" si="2"/>
        <v>212443</v>
      </c>
      <c r="E30" s="45">
        <f t="shared" si="2"/>
        <v>315796</v>
      </c>
      <c r="F30" s="45">
        <f t="shared" si="2"/>
        <v>347649</v>
      </c>
      <c r="G30" s="45">
        <f t="shared" si="2"/>
        <v>1124402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113</v>
      </c>
      <c r="D1" s="48" t="s">
        <v>114</v>
      </c>
      <c r="E1" s="48" t="s">
        <v>115</v>
      </c>
      <c r="F1" s="48" t="s">
        <v>116</v>
      </c>
      <c r="G1" s="3"/>
      <c r="I1" s="3"/>
    </row>
    <row r="2">
      <c r="A2" s="4" t="s">
        <v>4</v>
      </c>
      <c r="B2" s="5">
        <v>46174.0</v>
      </c>
      <c r="C2" s="6">
        <v>14347.0</v>
      </c>
      <c r="D2" s="6">
        <v>14297.0</v>
      </c>
      <c r="E2" s="6"/>
      <c r="F2" s="6">
        <v>9195.0</v>
      </c>
      <c r="G2" s="7">
        <f t="shared" ref="G2:G29" si="1">SUM(C2+D2+E2+F2)</f>
        <v>37839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13687.0</v>
      </c>
      <c r="D3" s="6">
        <v>12993.0</v>
      </c>
      <c r="E3" s="6">
        <v>1686.0</v>
      </c>
      <c r="F3" s="6">
        <v>13273.0</v>
      </c>
      <c r="G3" s="7">
        <f t="shared" si="1"/>
        <v>41639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4262.0</v>
      </c>
      <c r="D4" s="6">
        <v>15030.0</v>
      </c>
      <c r="E4" s="6">
        <v>10710.0</v>
      </c>
      <c r="F4" s="6">
        <v>13272.0</v>
      </c>
      <c r="G4" s="7">
        <f t="shared" si="1"/>
        <v>43274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10781.0</v>
      </c>
      <c r="D5" s="6">
        <v>18749.0</v>
      </c>
      <c r="E5" s="6">
        <v>13282.0</v>
      </c>
      <c r="F5" s="6">
        <v>15242.0</v>
      </c>
      <c r="G5" s="7">
        <f t="shared" si="1"/>
        <v>58054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13089.0</v>
      </c>
      <c r="D6" s="6">
        <v>17114.0</v>
      </c>
      <c r="E6" s="6">
        <v>8008.0</v>
      </c>
      <c r="F6" s="6">
        <v>13329.0</v>
      </c>
      <c r="G6" s="7">
        <f t="shared" si="1"/>
        <v>51540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14922.0</v>
      </c>
      <c r="D7" s="6">
        <v>23309.0</v>
      </c>
      <c r="E7" s="6">
        <v>10939.0</v>
      </c>
      <c r="F7" s="6">
        <v>3754.0</v>
      </c>
      <c r="G7" s="7">
        <f t="shared" si="1"/>
        <v>52924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11817.0</v>
      </c>
      <c r="D8" s="6">
        <v>8090.0</v>
      </c>
      <c r="E8" s="6">
        <v>10439.0</v>
      </c>
      <c r="F8" s="6">
        <v>4277.0</v>
      </c>
      <c r="G8" s="7">
        <f t="shared" si="1"/>
        <v>34623</v>
      </c>
      <c r="H8" s="11" t="s">
        <v>5</v>
      </c>
      <c r="I8" s="12">
        <f>SUM(G2:G8)</f>
        <v>319893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11428.0</v>
      </c>
      <c r="D9" s="16">
        <v>20278.0</v>
      </c>
      <c r="E9" s="16">
        <v>13484.0</v>
      </c>
      <c r="F9" s="16">
        <v>12556.0</v>
      </c>
      <c r="G9" s="17">
        <f t="shared" si="1"/>
        <v>57746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9543.0</v>
      </c>
      <c r="D10" s="19">
        <v>18619.0</v>
      </c>
      <c r="E10" s="19">
        <v>8296.0</v>
      </c>
      <c r="F10" s="19">
        <v>11632.0</v>
      </c>
      <c r="G10" s="17">
        <f t="shared" si="1"/>
        <v>48090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10024.0</v>
      </c>
      <c r="D11" s="19">
        <v>16353.0</v>
      </c>
      <c r="E11" s="19">
        <v>10053.0</v>
      </c>
      <c r="F11" s="19">
        <v>13442.0</v>
      </c>
      <c r="G11" s="17">
        <f t="shared" si="1"/>
        <v>49872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8693.0</v>
      </c>
      <c r="D12" s="19">
        <v>16255.0</v>
      </c>
      <c r="E12" s="19">
        <v>12213.0</v>
      </c>
      <c r="F12" s="19">
        <v>12716.0</v>
      </c>
      <c r="G12" s="17">
        <f t="shared" si="1"/>
        <v>49877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9133.0</v>
      </c>
      <c r="D13" s="19">
        <v>12213.0</v>
      </c>
      <c r="E13" s="19">
        <v>6559.0</v>
      </c>
      <c r="F13" s="19">
        <v>5709.0</v>
      </c>
      <c r="G13" s="17">
        <f t="shared" si="1"/>
        <v>33614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14313.0</v>
      </c>
      <c r="D14" s="19">
        <v>22205.0</v>
      </c>
      <c r="E14" s="19">
        <v>6704.0</v>
      </c>
      <c r="F14" s="19">
        <v>3466.0</v>
      </c>
      <c r="G14" s="17">
        <f t="shared" si="1"/>
        <v>46688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15626.0</v>
      </c>
      <c r="D15" s="19">
        <v>12413.0</v>
      </c>
      <c r="E15" s="19">
        <v>8344.0</v>
      </c>
      <c r="F15" s="19">
        <v>2499.0</v>
      </c>
      <c r="G15" s="17">
        <f t="shared" si="1"/>
        <v>38882</v>
      </c>
      <c r="H15" s="22" t="s">
        <v>5</v>
      </c>
      <c r="I15" s="23">
        <f>SUM(G9:G15)</f>
        <v>324769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>
        <v>9587.0</v>
      </c>
      <c r="D16" s="52">
        <v>16536.0</v>
      </c>
      <c r="E16" s="52">
        <v>10691.0</v>
      </c>
      <c r="F16" s="52">
        <v>15937.0</v>
      </c>
      <c r="G16" s="27">
        <f t="shared" si="1"/>
        <v>52751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1">
        <v>10149.0</v>
      </c>
      <c r="D17" s="31">
        <v>17463.0</v>
      </c>
      <c r="E17" s="31">
        <v>13354.0</v>
      </c>
      <c r="F17" s="31">
        <v>12497.0</v>
      </c>
      <c r="G17" s="27">
        <f t="shared" si="1"/>
        <v>53463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1">
        <v>6291.0</v>
      </c>
      <c r="D18" s="31">
        <v>16961.0</v>
      </c>
      <c r="E18" s="31">
        <v>7886.0</v>
      </c>
      <c r="F18" s="31">
        <v>11517.0</v>
      </c>
      <c r="G18" s="27">
        <f t="shared" si="1"/>
        <v>42655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1">
        <v>9897.0</v>
      </c>
      <c r="D19" s="31">
        <v>14160.0</v>
      </c>
      <c r="E19" s="31">
        <v>11055.0</v>
      </c>
      <c r="F19" s="31">
        <v>9594.0</v>
      </c>
      <c r="G19" s="27">
        <f t="shared" si="1"/>
        <v>44706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1">
        <v>16718.0</v>
      </c>
      <c r="D20" s="31">
        <v>20354.0</v>
      </c>
      <c r="E20" s="31">
        <v>10205.0</v>
      </c>
      <c r="F20" s="31">
        <v>2038.0</v>
      </c>
      <c r="G20" s="27">
        <f t="shared" si="1"/>
        <v>49315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1">
        <v>4622.0</v>
      </c>
      <c r="D21" s="31">
        <v>24273.0</v>
      </c>
      <c r="E21" s="31">
        <v>15536.0</v>
      </c>
      <c r="F21" s="30"/>
      <c r="G21" s="27">
        <f t="shared" si="1"/>
        <v>44431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1">
        <v>6493.0</v>
      </c>
      <c r="D22" s="31">
        <v>12570.0</v>
      </c>
      <c r="E22" s="30"/>
      <c r="F22" s="31">
        <v>5527.0</v>
      </c>
      <c r="G22" s="27">
        <f t="shared" si="1"/>
        <v>24590</v>
      </c>
      <c r="H22" s="32" t="s">
        <v>5</v>
      </c>
      <c r="I22" s="27">
        <f>SUM(G16:G22)</f>
        <v>311911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6">
        <v>4144.0</v>
      </c>
      <c r="D23" s="36">
        <v>15934.0</v>
      </c>
      <c r="E23" s="36">
        <v>7061.0</v>
      </c>
      <c r="F23" s="36">
        <v>14494.0</v>
      </c>
      <c r="G23" s="37">
        <f t="shared" si="1"/>
        <v>41633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2">
        <v>6186.0</v>
      </c>
      <c r="D24" s="42">
        <v>17166.0</v>
      </c>
      <c r="E24" s="42">
        <v>9120.0</v>
      </c>
      <c r="F24" s="42">
        <v>15186.0</v>
      </c>
      <c r="G24" s="39">
        <f t="shared" si="1"/>
        <v>47658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2">
        <v>10062.0</v>
      </c>
      <c r="D25" s="42">
        <v>20584.0</v>
      </c>
      <c r="E25" s="42">
        <v>6167.0</v>
      </c>
      <c r="F25" s="42">
        <v>10357.0</v>
      </c>
      <c r="G25" s="39">
        <f t="shared" si="1"/>
        <v>47170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2">
        <v>13661.0</v>
      </c>
      <c r="D26" s="42">
        <v>16043.0</v>
      </c>
      <c r="E26" s="42">
        <v>7081.0</v>
      </c>
      <c r="F26" s="42">
        <v>9407.0</v>
      </c>
      <c r="G26" s="39">
        <f t="shared" si="1"/>
        <v>46192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2">
        <v>6457.0</v>
      </c>
      <c r="D27" s="42">
        <v>10427.0</v>
      </c>
      <c r="E27" s="42">
        <v>6112.0</v>
      </c>
      <c r="F27" s="42">
        <v>5455.0</v>
      </c>
      <c r="G27" s="39">
        <f t="shared" si="1"/>
        <v>28451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2">
        <v>8373.0</v>
      </c>
      <c r="D28" s="42">
        <v>22235.0</v>
      </c>
      <c r="E28" s="42">
        <v>8621.0</v>
      </c>
      <c r="F28" s="42">
        <v>5977.0</v>
      </c>
      <c r="G28" s="39">
        <f t="shared" si="1"/>
        <v>45206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2">
        <v>12327.0</v>
      </c>
      <c r="D29" s="42">
        <v>11185.0</v>
      </c>
      <c r="E29" s="42">
        <v>4003.0</v>
      </c>
      <c r="F29" s="42">
        <v>4326.0</v>
      </c>
      <c r="G29" s="39">
        <f t="shared" si="1"/>
        <v>31841</v>
      </c>
      <c r="H29" s="43" t="s">
        <v>5</v>
      </c>
      <c r="I29" s="44">
        <f>SUM(G23:G29)</f>
        <v>288151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286632</v>
      </c>
      <c r="D30" s="45">
        <f t="shared" si="2"/>
        <v>463809</v>
      </c>
      <c r="E30" s="45">
        <f t="shared" si="2"/>
        <v>237609</v>
      </c>
      <c r="F30" s="45">
        <f t="shared" si="2"/>
        <v>256674</v>
      </c>
      <c r="G30" s="45">
        <f t="shared" si="2"/>
        <v>1244724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35.13"/>
  </cols>
  <sheetData>
    <row r="1">
      <c r="A1" s="69" t="s">
        <v>117</v>
      </c>
      <c r="B1" s="69" t="s">
        <v>118</v>
      </c>
    </row>
    <row r="2">
      <c r="A2" s="70" t="s">
        <v>119</v>
      </c>
      <c r="B2" s="71">
        <v>1244724.0</v>
      </c>
    </row>
    <row r="3">
      <c r="A3" s="70" t="s">
        <v>120</v>
      </c>
      <c r="B3" s="71">
        <v>1124402.0</v>
      </c>
    </row>
    <row r="4">
      <c r="A4" s="70" t="s">
        <v>121</v>
      </c>
      <c r="B4" s="72"/>
    </row>
    <row r="5">
      <c r="A5" s="70" t="s">
        <v>122</v>
      </c>
      <c r="B5" s="72"/>
    </row>
    <row r="6">
      <c r="A6" s="70" t="s">
        <v>123</v>
      </c>
      <c r="B6" s="71">
        <v>1449346.0</v>
      </c>
    </row>
    <row r="7">
      <c r="A7" s="70" t="s">
        <v>124</v>
      </c>
      <c r="B7" s="71">
        <v>1127169.0</v>
      </c>
    </row>
    <row r="8">
      <c r="A8" s="70" t="s">
        <v>125</v>
      </c>
      <c r="B8" s="71">
        <v>1038871.0</v>
      </c>
    </row>
    <row r="9">
      <c r="A9" s="70" t="s">
        <v>126</v>
      </c>
      <c r="B9" s="71">
        <v>1391982.0</v>
      </c>
    </row>
    <row r="10">
      <c r="A10" s="70" t="s">
        <v>127</v>
      </c>
      <c r="B10" s="71">
        <v>1370639.0</v>
      </c>
    </row>
    <row r="11">
      <c r="A11" s="70" t="s">
        <v>128</v>
      </c>
      <c r="B11" s="71">
        <v>1563583.0</v>
      </c>
    </row>
    <row r="12">
      <c r="A12" s="70" t="s">
        <v>129</v>
      </c>
      <c r="B12" s="71">
        <v>1885080.0</v>
      </c>
    </row>
    <row r="13">
      <c r="A13" s="70" t="s">
        <v>130</v>
      </c>
      <c r="B13" s="71">
        <v>1274187.0</v>
      </c>
    </row>
    <row r="14">
      <c r="A14" s="70" t="s">
        <v>131</v>
      </c>
      <c r="B14" s="71">
        <v>1517501.0</v>
      </c>
    </row>
    <row r="15">
      <c r="A15" s="70" t="s">
        <v>132</v>
      </c>
      <c r="B15" s="72"/>
    </row>
    <row r="16">
      <c r="A16" s="70" t="s">
        <v>133</v>
      </c>
      <c r="B16" s="71">
        <v>1345398.0</v>
      </c>
    </row>
    <row r="17">
      <c r="A17" s="70" t="s">
        <v>134</v>
      </c>
      <c r="B17" s="72"/>
    </row>
    <row r="18">
      <c r="A18" s="70" t="s">
        <v>135</v>
      </c>
      <c r="B18" s="72"/>
    </row>
    <row r="19">
      <c r="A19" s="70" t="s">
        <v>136</v>
      </c>
      <c r="B19" s="71">
        <v>1473166.0</v>
      </c>
    </row>
    <row r="20">
      <c r="A20" s="70" t="s">
        <v>137</v>
      </c>
      <c r="B20" s="71">
        <v>1330470.0</v>
      </c>
    </row>
    <row r="21">
      <c r="A21" s="70" t="s">
        <v>138</v>
      </c>
      <c r="B21" s="71">
        <v>1079391.0</v>
      </c>
    </row>
    <row r="22">
      <c r="A22" s="70" t="s">
        <v>139</v>
      </c>
      <c r="B22" s="71">
        <v>1374793.0</v>
      </c>
    </row>
    <row r="23">
      <c r="A23" s="70" t="s">
        <v>140</v>
      </c>
      <c r="B23" s="72"/>
    </row>
    <row r="24">
      <c r="A24" s="70" t="s">
        <v>141</v>
      </c>
      <c r="B24" s="72"/>
    </row>
    <row r="25">
      <c r="A25" s="72"/>
      <c r="B25" s="72"/>
    </row>
    <row r="26">
      <c r="A26" s="72"/>
      <c r="B26" s="72"/>
    </row>
    <row r="27">
      <c r="A27" s="72"/>
      <c r="B27" s="72"/>
    </row>
    <row r="28">
      <c r="A28" s="72"/>
      <c r="B28" s="72"/>
    </row>
    <row r="29">
      <c r="A29" s="72"/>
      <c r="B29" s="72"/>
    </row>
    <row r="30">
      <c r="A30" s="72"/>
      <c r="B30" s="72"/>
    </row>
    <row r="31">
      <c r="A31" s="72"/>
      <c r="B31" s="72"/>
    </row>
    <row r="32">
      <c r="A32" s="72"/>
      <c r="B32" s="72"/>
    </row>
    <row r="33">
      <c r="A33" s="72"/>
      <c r="B33" s="72"/>
    </row>
    <row r="34">
      <c r="A34" s="72"/>
      <c r="B34" s="72"/>
    </row>
    <row r="35">
      <c r="A35" s="72"/>
      <c r="B35" s="72"/>
    </row>
    <row r="36">
      <c r="A36" s="72"/>
      <c r="B36" s="72"/>
    </row>
    <row r="37">
      <c r="A37" s="72"/>
      <c r="B37" s="72"/>
    </row>
    <row r="38">
      <c r="A38" s="72"/>
      <c r="B38" s="72"/>
    </row>
    <row r="39">
      <c r="A39" s="72"/>
      <c r="B39" s="72"/>
    </row>
    <row r="40">
      <c r="A40" s="72"/>
      <c r="B40" s="7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2026-03-30T18:35:49Z</dcterms:created>
  <dc:creator>Jennifer Laber</dc:creator>
</cp:coreProperties>
</file>